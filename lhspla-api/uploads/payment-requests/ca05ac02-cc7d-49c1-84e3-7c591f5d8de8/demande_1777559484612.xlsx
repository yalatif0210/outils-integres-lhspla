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Nouvelle Pharmacie de la Santé Publique de Cote d'Ivoire\Documents\"/>
    </mc:Choice>
  </mc:AlternateContent>
  <xr:revisionPtr revIDLastSave="0" documentId="13_ncr:1_{2CAE2DE1-177D-4CEB-A5F9-2E81A32543F5}" xr6:coauthVersionLast="47" xr6:coauthVersionMax="47" xr10:uidLastSave="{00000000-0000-0000-0000-000000000000}"/>
  <bookViews>
    <workbookView xWindow="-110" yWindow="-110" windowWidth="19420" windowHeight="10420" xr2:uid="{FD65B145-44E1-4884-AC8B-9700B154601B}"/>
  </bookViews>
  <sheets>
    <sheet name="GONTOUG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13" i="1"/>
  <c r="H14" i="1"/>
  <c r="H24" i="1"/>
  <c r="H28" i="1"/>
  <c r="H31" i="1"/>
  <c r="H43" i="1"/>
  <c r="H52" i="1"/>
  <c r="H58" i="1"/>
  <c r="H59" i="1"/>
  <c r="H64" i="1"/>
  <c r="H69" i="1"/>
  <c r="E68" i="1"/>
  <c r="G71" i="1"/>
  <c r="H71" i="1" s="1"/>
  <c r="G70" i="1"/>
  <c r="H70" i="1" s="1"/>
  <c r="E69" i="1"/>
  <c r="E67" i="1"/>
  <c r="G66" i="1"/>
  <c r="H66" i="1" s="1"/>
  <c r="G65" i="1"/>
  <c r="H65" i="1" s="1"/>
  <c r="G64" i="1"/>
  <c r="G63" i="1"/>
  <c r="G62" i="1"/>
  <c r="H62" i="1" s="1"/>
  <c r="G61" i="1"/>
  <c r="H61" i="1" s="1"/>
  <c r="G60" i="1"/>
  <c r="H60" i="1" s="1"/>
  <c r="G59" i="1"/>
  <c r="G58" i="1"/>
  <c r="E57" i="1"/>
  <c r="G56" i="1"/>
  <c r="H56" i="1" s="1"/>
  <c r="G55" i="1"/>
  <c r="H55" i="1" s="1"/>
  <c r="G54" i="1"/>
  <c r="H54" i="1" s="1"/>
  <c r="G53" i="1"/>
  <c r="H53" i="1" s="1"/>
  <c r="F51" i="1"/>
  <c r="E49" i="1"/>
  <c r="E51" i="1" s="1"/>
  <c r="G48" i="1"/>
  <c r="H48" i="1" s="1"/>
  <c r="H49" i="1" s="1"/>
  <c r="H51" i="1" s="1"/>
  <c r="E45" i="1"/>
  <c r="G44" i="1"/>
  <c r="H44" i="1" s="1"/>
  <c r="G43" i="1"/>
  <c r="G42" i="1"/>
  <c r="H42" i="1" s="1"/>
  <c r="G41" i="1"/>
  <c r="H41" i="1" s="1"/>
  <c r="G40" i="1"/>
  <c r="H40" i="1" s="1"/>
  <c r="G39" i="1"/>
  <c r="H39" i="1" s="1"/>
  <c r="G38" i="1"/>
  <c r="H38" i="1" s="1"/>
  <c r="E37" i="1"/>
  <c r="G36" i="1"/>
  <c r="H36" i="1" s="1"/>
  <c r="G35" i="1"/>
  <c r="H35" i="1" s="1"/>
  <c r="G34" i="1"/>
  <c r="H34" i="1" s="1"/>
  <c r="G33" i="1"/>
  <c r="H33" i="1" s="1"/>
  <c r="G32" i="1"/>
  <c r="H32" i="1" s="1"/>
  <c r="G31" i="1"/>
  <c r="G30" i="1"/>
  <c r="H30" i="1" s="1"/>
  <c r="G29" i="1"/>
  <c r="H29" i="1" s="1"/>
  <c r="G26" i="1"/>
  <c r="H26" i="1" s="1"/>
  <c r="G25" i="1"/>
  <c r="H25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G13" i="1"/>
  <c r="G12" i="1"/>
  <c r="H12" i="1" s="1"/>
  <c r="G11" i="1"/>
  <c r="H11" i="1" s="1"/>
  <c r="G10" i="1"/>
  <c r="H10" i="1" s="1"/>
  <c r="E8" i="1"/>
  <c r="G7" i="1"/>
  <c r="H7" i="1" s="1"/>
  <c r="H8" i="1" s="1"/>
  <c r="G6" i="1"/>
  <c r="H6" i="1" s="1"/>
  <c r="G3" i="1"/>
  <c r="G4" i="1" s="1"/>
  <c r="G68" i="1" l="1"/>
  <c r="H45" i="1"/>
  <c r="H37" i="1"/>
  <c r="H46" i="1" s="1"/>
  <c r="H63" i="1"/>
  <c r="G57" i="1"/>
  <c r="H57" i="1" s="1"/>
  <c r="G27" i="1"/>
  <c r="H27" i="1" s="1"/>
  <c r="G23" i="1"/>
  <c r="H23" i="1" s="1"/>
  <c r="G37" i="1"/>
  <c r="G8" i="1"/>
  <c r="G45" i="1"/>
  <c r="G49" i="1"/>
  <c r="G51" i="1" s="1"/>
  <c r="D74" i="1" s="1"/>
  <c r="G74" i="1" s="1"/>
  <c r="H74" i="1" s="1"/>
  <c r="G72" i="1"/>
  <c r="H72" i="1" s="1"/>
  <c r="G67" i="1"/>
  <c r="H67" i="1" l="1"/>
  <c r="H68" i="1"/>
  <c r="D75" i="1"/>
  <c r="G75" i="1" s="1"/>
  <c r="H75" i="1" s="1"/>
  <c r="D73" i="1"/>
  <c r="G46" i="1"/>
  <c r="G73" i="1" l="1"/>
  <c r="H73" i="1" s="1"/>
  <c r="D76" i="1"/>
  <c r="G76" i="1" l="1"/>
  <c r="G77" i="1" l="1"/>
  <c r="H77" i="1" s="1"/>
  <c r="H76" i="1"/>
  <c r="G78" i="1" l="1"/>
  <c r="H78" i="1" s="1"/>
</calcChain>
</file>

<file path=xl/sharedStrings.xml><?xml version="1.0" encoding="utf-8"?>
<sst xmlns="http://schemas.openxmlformats.org/spreadsheetml/2006/main" count="103" uniqueCount="72">
  <si>
    <t>N° ORD</t>
  </si>
  <si>
    <t>DESIGNATIONS</t>
  </si>
  <si>
    <t>BAILLEUR</t>
  </si>
  <si>
    <t>Cout unitaire
(FCFA)</t>
  </si>
  <si>
    <t>Quantité (Nbre )</t>
  </si>
  <si>
    <t>Fréquence (Jours)</t>
  </si>
  <si>
    <t>Montant total 
(FCFA)</t>
  </si>
  <si>
    <t>Montant total 
(dollars)</t>
  </si>
  <si>
    <t>LOCATION DE SALLES</t>
  </si>
  <si>
    <r>
      <t>Salle pour les plénières</t>
    </r>
    <r>
      <rPr>
        <b/>
        <sz val="14"/>
        <color rgb="FFFF0000"/>
        <rFont val="Arial Narrow"/>
        <family val="2"/>
      </rPr>
      <t xml:space="preserve">  (Nombre de Places)</t>
    </r>
  </si>
  <si>
    <t>Total Location salles</t>
  </si>
  <si>
    <t>RESTAURATION (FORFAIT REPAS)</t>
  </si>
  <si>
    <t xml:space="preserve">Pause-café </t>
  </si>
  <si>
    <t>Projet LHSPLA-PEPFAR</t>
  </si>
  <si>
    <t>Total RESTAURATION (FORFAIT REPAS)</t>
  </si>
  <si>
    <t>FORFAIT HEBERGEMENT PARTICIPANTS</t>
  </si>
  <si>
    <t>Hébergements des participants Région BOUNKANI  (DD Doropo, DD Nassian et DD Téhini)</t>
  </si>
  <si>
    <t>Hébergements des participants Région GONTOUGO (DD KounFao - DD Tanda - DD Transua - DD Sandégué)</t>
  </si>
  <si>
    <t>Hébergements des participants Région NAWA (DD Buyo - DD Gueyo - DD Méagui)</t>
  </si>
  <si>
    <t>Hébergements des participants Région AGNEBY TIASSA (DD Sikensi et  DD Tiassalé)</t>
  </si>
  <si>
    <t>Hébergements des participants Région IFFOU (DD M'bahiakro et DD Prikro)</t>
  </si>
  <si>
    <t>Hébergements des participants Région  INDENIE DJUABLIN (DD Bettié et DD Agnibilékrou)</t>
  </si>
  <si>
    <t>Hébergements des participants Région SUD COMOE (DD Adiaké, DD Tiapoum et DD Gd Bassam)</t>
  </si>
  <si>
    <t>Hébergements des participants Région SAN-PEDRO ( DD Tabou)</t>
  </si>
  <si>
    <t>Hébergements des participants Région Gbôklê (DD Fresco)</t>
  </si>
  <si>
    <t>Hébergements des participants Région GRANDS PONTS (DD Grand - Lahou et DD Jacqueville)</t>
  </si>
  <si>
    <t>Hébergements des participants Région GOH (DD Oumé )</t>
  </si>
  <si>
    <t>Hébergements des participants Région ME (DD Akoupé, DD Alépé, DD Yakassé Att)</t>
  </si>
  <si>
    <t>Hébergements des participan Région NZI (DD Bocanda et DD Koussikouassikro)</t>
  </si>
  <si>
    <t>Total FORFAIT HEBERGEMENT PARTICIPANTS</t>
  </si>
  <si>
    <t>LOCATION DE VOITURE</t>
  </si>
  <si>
    <t>Véhicule 1- Type 4x4</t>
  </si>
  <si>
    <t>Véhicule 2- Type Berline</t>
  </si>
  <si>
    <t>Total CARBURANT</t>
  </si>
  <si>
    <t>CARBURANT ET PEAGE (STAFF NPSP)</t>
  </si>
  <si>
    <t>SOUS TOTAL: CARBURANT STAFF NPSP</t>
  </si>
  <si>
    <t>SOUS TOTAL: PEAGE STAFF NPSP</t>
  </si>
  <si>
    <t>Total CARBURANT ET PEAGE STAFF NPSP</t>
  </si>
  <si>
    <t>PERDIEMS ET FULL PERDIEMS</t>
  </si>
  <si>
    <t>SOUS TOTAL: PERDIEMS DES REGIONS SANITAIRES (RS)</t>
  </si>
  <si>
    <t>SOUS TOTAL: FULL PERDIEMS STAFF NPSP</t>
  </si>
  <si>
    <t>Total Perdiems et full perdiems</t>
  </si>
  <si>
    <t>TRANSPORT/CARBURANT REGION SANITAIRE</t>
  </si>
  <si>
    <t>Transport participants  Région GOH (DR)</t>
  </si>
  <si>
    <t>Transport participants  Région GOH (DD Oumé )</t>
  </si>
  <si>
    <t>Transport participants  Région GOH (2DD Gagnoa, 1Dir CHR )</t>
  </si>
  <si>
    <t>Transport participants  Région GOH (2PR)</t>
  </si>
  <si>
    <t>SOUS TOTAL: FORFAIT TRANSPORT RS GOH</t>
  </si>
  <si>
    <t>Transport participants  Région ME (DR)</t>
  </si>
  <si>
    <t>Transport participants  Région ME (1DD Adzopé, 1Dir IRF et 1CHR)</t>
  </si>
  <si>
    <t>Transport participants  Région ME (2PR)</t>
  </si>
  <si>
    <t>Transport participants  Région ME (DD Akoupé)</t>
  </si>
  <si>
    <t>Transport participants  Région ME (DD Yakassé Att)</t>
  </si>
  <si>
    <t>Forfait Transport Participants (1DS et 1 HG Koun Fao)</t>
  </si>
  <si>
    <t>Forfait Transport Participants (1DS et 1HG Tanda, 1DS et 1HG Transua, 1DS et 1HG Sandégué)</t>
  </si>
  <si>
    <t>Forfait Transport Participants (1 CSU  Kouassi Datiékro)</t>
  </si>
  <si>
    <t>SOUS TOTAL: FORFAIT TRANSPORT RS GONTOUGO</t>
  </si>
  <si>
    <t>Total Forfait transport</t>
  </si>
  <si>
    <t>MATERIELS ET FOURNITURES</t>
  </si>
  <si>
    <r>
      <t xml:space="preserve">Fournitures de bureau (Kit participants) </t>
    </r>
    <r>
      <rPr>
        <sz val="14"/>
        <color rgb="FFFF0000"/>
        <rFont val="Arial Narrow"/>
        <family val="2"/>
      </rPr>
      <t>Faire un détails des besoins</t>
    </r>
  </si>
  <si>
    <r>
      <t>Autres Achats</t>
    </r>
    <r>
      <rPr>
        <sz val="14"/>
        <color rgb="FFFF0000"/>
        <rFont val="Arial Narrow"/>
        <family val="2"/>
      </rPr>
      <t xml:space="preserve"> (A detailler)</t>
    </r>
  </si>
  <si>
    <t xml:space="preserve"> Total Materiels et Fournitures</t>
  </si>
  <si>
    <t>Frais de transfert de fonds / FORFAIT REPAS</t>
  </si>
  <si>
    <t>Frais de transfert de fonds / FULL PERDIEM ET PERDIEM</t>
  </si>
  <si>
    <t>Frais de transfert de fonds / FORFAIT TRANSPORT</t>
  </si>
  <si>
    <t>Total Frais de transferts de fonds</t>
  </si>
  <si>
    <t xml:space="preserve">TOTAL </t>
  </si>
  <si>
    <t>FINANCEMENT GLOBAL DE L'ACTIVITE</t>
  </si>
  <si>
    <t>PART DU FINANCEMENT - PEPFAR</t>
  </si>
  <si>
    <t>Pause-Déjeuner Région GONTOUGO (1DS Kounfao, 1HG Kounfao)</t>
  </si>
  <si>
    <t>Forfait Transport Participants Gontougo (1PR, 1DS Bondoukou, 1CHR)</t>
  </si>
  <si>
    <t>Perdiems participants Région GONTOUGO (1PR, 1DS Bondoukou, 1CHR, 1DS Tanda, 1HG Tanda, 1DS Transua, 1HG Transua, 1DS Sandégué, 1HG Sandégué et 1CSU Kouassi Datiékro)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</si>
</sst>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\ _€_-;\-* #,##0.00\ _€_-;_-* &quot;-&quot;??\ _€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14"/>
      <color rgb="FF000000"/>
      <name val="Arial Narrow"/>
      <family val="2"/>
    </font>
    <font>
      <sz val="14"/>
      <color rgb="FF000000"/>
      <name val="Arial Narrow"/>
      <family val="2"/>
    </font>
    <font>
      <b/>
      <sz val="14"/>
      <color rgb="FFFF0000"/>
      <name val="Arial Narrow"/>
      <family val="2"/>
    </font>
    <font>
      <sz val="14"/>
      <name val="Arial Narrow"/>
      <family val="2"/>
    </font>
    <font>
      <b/>
      <i/>
      <sz val="14"/>
      <color rgb="FF000000"/>
      <name val="Arial Narrow"/>
      <family val="2"/>
    </font>
    <font>
      <sz val="14"/>
      <color rgb="FFFF0000"/>
      <name val="Arial Narrow"/>
      <family val="2"/>
    </font>
    <font>
      <sz val="12"/>
      <color rgb="FF000000"/>
      <name val="Arial Narrow"/>
      <family val="2"/>
    </font>
    <font>
      <b/>
      <sz val="14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</fills>
  <borders count="6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 style="double">
        <color indexed="64"/>
      </right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double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auto="1"/>
      </top>
      <bottom style="thick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 style="thick">
        <color indexed="64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indexed="64"/>
      </left>
      <right style="medium">
        <color auto="1"/>
      </right>
      <top/>
      <bottom style="double">
        <color auto="1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7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1" fontId="2" fillId="0" borderId="0" xfId="1" applyFont="1" applyAlignment="1">
      <alignment horizontal="right" vertical="center"/>
    </xf>
    <xf numFmtId="41" fontId="2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1" fontId="5" fillId="2" borderId="4" xfId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righ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41" fontId="6" fillId="0" borderId="9" xfId="1" applyFont="1" applyBorder="1" applyAlignment="1">
      <alignment horizontal="right" vertical="center"/>
    </xf>
    <xf numFmtId="41" fontId="6" fillId="0" borderId="9" xfId="1" applyFont="1" applyBorder="1" applyAlignment="1">
      <alignment horizontal="center" vertical="center"/>
    </xf>
    <xf numFmtId="41" fontId="6" fillId="0" borderId="9" xfId="1" quotePrefix="1" applyFont="1" applyBorder="1" applyAlignment="1">
      <alignment vertical="center"/>
    </xf>
    <xf numFmtId="3" fontId="6" fillId="0" borderId="10" xfId="2" quotePrefix="1" applyNumberFormat="1" applyFont="1" applyBorder="1" applyAlignment="1">
      <alignment horizontal="right" vertical="center"/>
    </xf>
    <xf numFmtId="0" fontId="5" fillId="4" borderId="11" xfId="0" applyFont="1" applyFill="1" applyBorder="1" applyAlignment="1">
      <alignment vertical="center"/>
    </xf>
    <xf numFmtId="0" fontId="5" fillId="4" borderId="11" xfId="0" applyFont="1" applyFill="1" applyBorder="1" applyAlignment="1">
      <alignment horizontal="center" vertical="center"/>
    </xf>
    <xf numFmtId="41" fontId="6" fillId="4" borderId="11" xfId="1" applyFont="1" applyFill="1" applyBorder="1" applyAlignment="1">
      <alignment horizontal="right" vertical="center"/>
    </xf>
    <xf numFmtId="41" fontId="6" fillId="4" borderId="11" xfId="1" applyFont="1" applyFill="1" applyBorder="1" applyAlignment="1">
      <alignment horizontal="center" vertical="center"/>
    </xf>
    <xf numFmtId="41" fontId="5" fillId="4" borderId="11" xfId="1" applyFont="1" applyFill="1" applyBorder="1" applyAlignment="1">
      <alignment vertical="center"/>
    </xf>
    <xf numFmtId="3" fontId="5" fillId="4" borderId="12" xfId="0" applyNumberFormat="1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41" fontId="6" fillId="0" borderId="14" xfId="1" applyFont="1" applyBorder="1" applyAlignment="1">
      <alignment horizontal="right" vertical="center"/>
    </xf>
    <xf numFmtId="41" fontId="6" fillId="0" borderId="9" xfId="1" quotePrefix="1" applyFont="1" applyFill="1" applyBorder="1" applyAlignment="1">
      <alignment vertical="center"/>
    </xf>
    <xf numFmtId="3" fontId="6" fillId="0" borderId="10" xfId="2" quotePrefix="1" applyNumberFormat="1" applyFont="1" applyFill="1" applyBorder="1" applyAlignment="1">
      <alignment horizontal="right" vertical="center"/>
    </xf>
    <xf numFmtId="0" fontId="5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41" fontId="6" fillId="0" borderId="17" xfId="1" applyFont="1" applyBorder="1" applyAlignment="1">
      <alignment horizontal="right" vertical="center"/>
    </xf>
    <xf numFmtId="41" fontId="6" fillId="0" borderId="18" xfId="1" applyFont="1" applyBorder="1" applyAlignment="1">
      <alignment horizontal="center" vertical="center"/>
    </xf>
    <xf numFmtId="41" fontId="6" fillId="0" borderId="16" xfId="1" applyFont="1" applyBorder="1" applyAlignment="1">
      <alignment horizontal="center" vertical="center"/>
    </xf>
    <xf numFmtId="41" fontId="6" fillId="0" borderId="19" xfId="1" quotePrefix="1" applyFont="1" applyFill="1" applyBorder="1" applyAlignment="1">
      <alignment vertical="center"/>
    </xf>
    <xf numFmtId="3" fontId="6" fillId="0" borderId="16" xfId="2" quotePrefix="1" applyNumberFormat="1" applyFont="1" applyFill="1" applyBorder="1" applyAlignment="1">
      <alignment horizontal="right" vertical="center"/>
    </xf>
    <xf numFmtId="0" fontId="6" fillId="0" borderId="20" xfId="0" applyFont="1" applyBorder="1" applyAlignment="1">
      <alignment horizontal="center" vertical="center" wrapText="1"/>
    </xf>
    <xf numFmtId="41" fontId="6" fillId="0" borderId="20" xfId="1" applyFont="1" applyBorder="1" applyAlignment="1">
      <alignment horizontal="center" vertical="center"/>
    </xf>
    <xf numFmtId="41" fontId="4" fillId="0" borderId="0" xfId="0" applyNumberFormat="1" applyFont="1" applyAlignment="1">
      <alignment vertical="center"/>
    </xf>
    <xf numFmtId="0" fontId="5" fillId="0" borderId="23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vertical="center"/>
    </xf>
    <xf numFmtId="0" fontId="5" fillId="4" borderId="24" xfId="0" applyFont="1" applyFill="1" applyBorder="1" applyAlignment="1">
      <alignment horizontal="center" vertical="center"/>
    </xf>
    <xf numFmtId="41" fontId="6" fillId="4" borderId="0" xfId="1" applyFont="1" applyFill="1" applyBorder="1" applyAlignment="1">
      <alignment vertical="center"/>
    </xf>
    <xf numFmtId="41" fontId="5" fillId="4" borderId="25" xfId="1" applyFont="1" applyFill="1" applyBorder="1" applyAlignment="1">
      <alignment vertical="center"/>
    </xf>
    <xf numFmtId="41" fontId="6" fillId="4" borderId="24" xfId="1" applyFont="1" applyFill="1" applyBorder="1" applyAlignment="1">
      <alignment vertical="center"/>
    </xf>
    <xf numFmtId="41" fontId="5" fillId="4" borderId="26" xfId="1" applyFont="1" applyFill="1" applyBorder="1" applyAlignment="1">
      <alignment vertical="center"/>
    </xf>
    <xf numFmtId="0" fontId="5" fillId="0" borderId="27" xfId="0" applyFont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left" vertical="center"/>
    </xf>
    <xf numFmtId="0" fontId="5" fillId="3" borderId="29" xfId="0" applyFont="1" applyFill="1" applyBorder="1" applyAlignment="1">
      <alignment horizontal="left" vertical="center"/>
    </xf>
    <xf numFmtId="0" fontId="5" fillId="3" borderId="30" xfId="0" applyFont="1" applyFill="1" applyBorder="1" applyAlignment="1">
      <alignment horizontal="left" vertical="center"/>
    </xf>
    <xf numFmtId="0" fontId="5" fillId="0" borderId="31" xfId="0" applyFont="1" applyBorder="1" applyAlignment="1">
      <alignment horizontal="center" vertical="center" wrapText="1"/>
    </xf>
    <xf numFmtId="0" fontId="6" fillId="0" borderId="16" xfId="0" applyFont="1" applyBorder="1" applyAlignment="1">
      <alignment vertical="center" wrapText="1"/>
    </xf>
    <xf numFmtId="0" fontId="6" fillId="0" borderId="32" xfId="0" applyFont="1" applyBorder="1" applyAlignment="1">
      <alignment horizontal="center" vertical="center" wrapText="1"/>
    </xf>
    <xf numFmtId="41" fontId="6" fillId="0" borderId="16" xfId="1" applyFont="1" applyBorder="1" applyAlignment="1">
      <alignment horizontal="right" vertical="center"/>
    </xf>
    <xf numFmtId="41" fontId="6" fillId="0" borderId="32" xfId="1" applyFont="1" applyBorder="1" applyAlignment="1">
      <alignment horizontal="center" vertical="center"/>
    </xf>
    <xf numFmtId="41" fontId="6" fillId="0" borderId="32" xfId="1" quotePrefix="1" applyFont="1" applyBorder="1" applyAlignment="1">
      <alignment vertical="center"/>
    </xf>
    <xf numFmtId="3" fontId="6" fillId="0" borderId="16" xfId="2" quotePrefix="1" applyNumberFormat="1" applyFont="1" applyBorder="1" applyAlignment="1">
      <alignment horizontal="right" vertical="center"/>
    </xf>
    <xf numFmtId="0" fontId="6" fillId="0" borderId="20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 wrapText="1"/>
    </xf>
    <xf numFmtId="41" fontId="6" fillId="0" borderId="17" xfId="1" applyFont="1" applyBorder="1" applyAlignment="1">
      <alignment horizontal="center" vertical="center"/>
    </xf>
    <xf numFmtId="41" fontId="6" fillId="0" borderId="17" xfId="1" quotePrefix="1" applyFont="1" applyBorder="1" applyAlignment="1">
      <alignment vertical="center"/>
    </xf>
    <xf numFmtId="3" fontId="6" fillId="0" borderId="20" xfId="2" quotePrefix="1" applyNumberFormat="1" applyFont="1" applyBorder="1" applyAlignment="1">
      <alignment horizontal="right" vertical="center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4" borderId="24" xfId="0" applyFont="1" applyFill="1" applyBorder="1" applyAlignment="1">
      <alignment vertical="center"/>
    </xf>
    <xf numFmtId="0" fontId="5" fillId="4" borderId="35" xfId="0" applyFont="1" applyFill="1" applyBorder="1" applyAlignment="1">
      <alignment horizontal="center" vertical="center"/>
    </xf>
    <xf numFmtId="41" fontId="5" fillId="4" borderId="24" xfId="1" applyFont="1" applyFill="1" applyBorder="1" applyAlignment="1">
      <alignment horizontal="right" vertical="center"/>
    </xf>
    <xf numFmtId="41" fontId="5" fillId="4" borderId="35" xfId="1" applyFont="1" applyFill="1" applyBorder="1" applyAlignment="1">
      <alignment horizontal="center" vertical="center"/>
    </xf>
    <xf numFmtId="41" fontId="5" fillId="4" borderId="24" xfId="1" applyFont="1" applyFill="1" applyBorder="1" applyAlignment="1">
      <alignment horizontal="center" vertical="center"/>
    </xf>
    <xf numFmtId="41" fontId="5" fillId="4" borderId="35" xfId="1" applyFont="1" applyFill="1" applyBorder="1" applyAlignment="1">
      <alignment vertical="center"/>
    </xf>
    <xf numFmtId="3" fontId="5" fillId="4" borderId="24" xfId="0" applyNumberFormat="1" applyFont="1" applyFill="1" applyBorder="1" applyAlignment="1">
      <alignment horizontal="right" vertical="center"/>
    </xf>
    <xf numFmtId="0" fontId="5" fillId="0" borderId="36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6" fillId="0" borderId="14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41" fontId="6" fillId="0" borderId="14" xfId="1" applyFont="1" applyBorder="1" applyAlignment="1">
      <alignment horizontal="center" vertical="center"/>
    </xf>
    <xf numFmtId="41" fontId="6" fillId="0" borderId="14" xfId="1" quotePrefix="1" applyFont="1" applyBorder="1" applyAlignment="1">
      <alignment vertical="center"/>
    </xf>
    <xf numFmtId="3" fontId="6" fillId="0" borderId="37" xfId="2" quotePrefix="1" applyNumberFormat="1" applyFont="1" applyBorder="1" applyAlignment="1">
      <alignment horizontal="right" vertical="center"/>
    </xf>
    <xf numFmtId="0" fontId="6" fillId="0" borderId="38" xfId="0" applyFont="1" applyBorder="1" applyAlignment="1">
      <alignment vertical="center" wrapText="1"/>
    </xf>
    <xf numFmtId="0" fontId="6" fillId="0" borderId="38" xfId="0" applyFont="1" applyBorder="1" applyAlignment="1">
      <alignment horizontal="center" vertical="center" wrapText="1"/>
    </xf>
    <xf numFmtId="41" fontId="6" fillId="0" borderId="38" xfId="1" applyFont="1" applyBorder="1" applyAlignment="1">
      <alignment horizontal="right" vertical="center"/>
    </xf>
    <xf numFmtId="41" fontId="6" fillId="0" borderId="38" xfId="1" applyFont="1" applyBorder="1" applyAlignment="1">
      <alignment horizontal="center" vertical="center"/>
    </xf>
    <xf numFmtId="41" fontId="6" fillId="0" borderId="38" xfId="1" quotePrefix="1" applyFont="1" applyBorder="1" applyAlignment="1">
      <alignment vertical="center"/>
    </xf>
    <xf numFmtId="3" fontId="6" fillId="0" borderId="39" xfId="2" quotePrefix="1" applyNumberFormat="1" applyFont="1" applyBorder="1" applyAlignment="1">
      <alignment horizontal="right" vertical="center"/>
    </xf>
    <xf numFmtId="41" fontId="5" fillId="4" borderId="11" xfId="1" applyFont="1" applyFill="1" applyBorder="1" applyAlignment="1">
      <alignment horizontal="right" vertical="center"/>
    </xf>
    <xf numFmtId="41" fontId="5" fillId="4" borderId="11" xfId="1" applyFont="1" applyFill="1" applyBorder="1" applyAlignment="1">
      <alignment horizontal="center" vertical="center"/>
    </xf>
    <xf numFmtId="0" fontId="6" fillId="0" borderId="40" xfId="0" applyFont="1" applyBorder="1" applyAlignment="1">
      <alignment vertical="center" wrapText="1"/>
    </xf>
    <xf numFmtId="41" fontId="6" fillId="0" borderId="16" xfId="1" quotePrefix="1" applyFont="1" applyBorder="1" applyAlignment="1">
      <alignment vertical="center"/>
    </xf>
    <xf numFmtId="3" fontId="6" fillId="0" borderId="41" xfId="2" quotePrefix="1" applyNumberFormat="1" applyFont="1" applyBorder="1" applyAlignment="1">
      <alignment horizontal="right" vertical="center"/>
    </xf>
    <xf numFmtId="41" fontId="6" fillId="0" borderId="20" xfId="1" quotePrefix="1" applyFont="1" applyBorder="1" applyAlignment="1">
      <alignment vertical="center"/>
    </xf>
    <xf numFmtId="0" fontId="6" fillId="0" borderId="42" xfId="0" applyFont="1" applyBorder="1" applyAlignment="1">
      <alignment vertical="center" wrapText="1"/>
    </xf>
    <xf numFmtId="0" fontId="6" fillId="0" borderId="43" xfId="0" applyFont="1" applyBorder="1" applyAlignment="1">
      <alignment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right" vertical="center" wrapText="1"/>
    </xf>
    <xf numFmtId="41" fontId="9" fillId="5" borderId="13" xfId="1" applyFont="1" applyFill="1" applyBorder="1" applyAlignment="1">
      <alignment horizontal="right" vertical="center"/>
    </xf>
    <xf numFmtId="0" fontId="4" fillId="0" borderId="40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 wrapText="1"/>
    </xf>
    <xf numFmtId="41" fontId="6" fillId="0" borderId="22" xfId="1" applyFont="1" applyBorder="1" applyAlignment="1">
      <alignment horizontal="center" vertical="center"/>
    </xf>
    <xf numFmtId="41" fontId="6" fillId="0" borderId="43" xfId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4" fillId="0" borderId="44" xfId="0" applyFont="1" applyBorder="1" applyAlignment="1">
      <alignment vertical="center" wrapText="1"/>
    </xf>
    <xf numFmtId="41" fontId="6" fillId="0" borderId="20" xfId="1" applyFont="1" applyBorder="1" applyAlignment="1">
      <alignment horizontal="right" vertical="center"/>
    </xf>
    <xf numFmtId="41" fontId="6" fillId="0" borderId="42" xfId="1" applyFont="1" applyBorder="1" applyAlignment="1">
      <alignment horizontal="right" vertical="center"/>
    </xf>
    <xf numFmtId="0" fontId="6" fillId="0" borderId="45" xfId="0" applyFont="1" applyBorder="1" applyAlignment="1">
      <alignment horizontal="center" vertical="center" wrapText="1"/>
    </xf>
    <xf numFmtId="41" fontId="6" fillId="0" borderId="24" xfId="1" applyFont="1" applyBorder="1" applyAlignment="1">
      <alignment horizontal="right" vertical="center"/>
    </xf>
    <xf numFmtId="0" fontId="9" fillId="5" borderId="24" xfId="0" applyFont="1" applyFill="1" applyBorder="1" applyAlignment="1">
      <alignment horizontal="right" vertical="center" wrapText="1"/>
    </xf>
    <xf numFmtId="0" fontId="5" fillId="4" borderId="27" xfId="0" applyFont="1" applyFill="1" applyBorder="1" applyAlignment="1">
      <alignment vertical="center"/>
    </xf>
    <xf numFmtId="0" fontId="5" fillId="4" borderId="27" xfId="0" applyFont="1" applyFill="1" applyBorder="1" applyAlignment="1">
      <alignment horizontal="center" vertical="center"/>
    </xf>
    <xf numFmtId="41" fontId="5" fillId="4" borderId="27" xfId="1" applyFont="1" applyFill="1" applyBorder="1" applyAlignment="1">
      <alignment horizontal="right" vertical="center"/>
    </xf>
    <xf numFmtId="41" fontId="5" fillId="4" borderId="27" xfId="1" applyFont="1" applyFill="1" applyBorder="1" applyAlignment="1">
      <alignment horizontal="center" vertical="center"/>
    </xf>
    <xf numFmtId="41" fontId="5" fillId="4" borderId="27" xfId="1" applyFont="1" applyFill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vertical="center" wrapText="1"/>
    </xf>
    <xf numFmtId="41" fontId="6" fillId="0" borderId="20" xfId="1" quotePrefix="1" applyFont="1" applyFill="1" applyBorder="1" applyAlignment="1">
      <alignment vertical="center"/>
    </xf>
    <xf numFmtId="3" fontId="6" fillId="0" borderId="46" xfId="2" quotePrefix="1" applyNumberFormat="1" applyFont="1" applyFill="1" applyBorder="1" applyAlignment="1">
      <alignment horizontal="right" vertical="center"/>
    </xf>
    <xf numFmtId="0" fontId="9" fillId="5" borderId="24" xfId="0" applyFont="1" applyFill="1" applyBorder="1" applyAlignment="1">
      <alignment horizontal="center" vertical="center" wrapText="1"/>
    </xf>
    <xf numFmtId="41" fontId="9" fillId="5" borderId="24" xfId="1" applyFont="1" applyFill="1" applyBorder="1" applyAlignment="1">
      <alignment horizontal="right" vertical="center"/>
    </xf>
    <xf numFmtId="0" fontId="9" fillId="5" borderId="13" xfId="0" applyFont="1" applyFill="1" applyBorder="1" applyAlignment="1">
      <alignment horizontal="right" vertical="center" wrapText="1"/>
    </xf>
    <xf numFmtId="0" fontId="5" fillId="4" borderId="48" xfId="0" applyFont="1" applyFill="1" applyBorder="1" applyAlignment="1">
      <alignment vertical="center"/>
    </xf>
    <xf numFmtId="0" fontId="5" fillId="4" borderId="48" xfId="0" applyFont="1" applyFill="1" applyBorder="1" applyAlignment="1">
      <alignment horizontal="center" vertical="center"/>
    </xf>
    <xf numFmtId="41" fontId="5" fillId="4" borderId="48" xfId="1" applyFont="1" applyFill="1" applyBorder="1" applyAlignment="1">
      <alignment vertical="center"/>
    </xf>
    <xf numFmtId="41" fontId="5" fillId="4" borderId="48" xfId="1" applyFont="1" applyFill="1" applyBorder="1" applyAlignment="1">
      <alignment horizontal="right" vertical="center"/>
    </xf>
    <xf numFmtId="0" fontId="3" fillId="0" borderId="4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47" xfId="0" applyFont="1" applyBorder="1" applyAlignment="1">
      <alignment vertical="center" wrapText="1"/>
    </xf>
    <xf numFmtId="0" fontId="8" fillId="0" borderId="47" xfId="0" applyFont="1" applyBorder="1" applyAlignment="1">
      <alignment vertical="center" wrapText="1"/>
    </xf>
    <xf numFmtId="41" fontId="6" fillId="0" borderId="14" xfId="1" quotePrefix="1" applyFont="1" applyFill="1" applyBorder="1" applyAlignment="1">
      <alignment vertical="center"/>
    </xf>
    <xf numFmtId="0" fontId="5" fillId="3" borderId="9" xfId="0" applyFont="1" applyFill="1" applyBorder="1" applyAlignment="1">
      <alignment horizontal="left" vertical="center"/>
    </xf>
    <xf numFmtId="41" fontId="5" fillId="3" borderId="9" xfId="0" applyNumberFormat="1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6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41" fontId="6" fillId="0" borderId="50" xfId="1" applyFont="1" applyFill="1" applyBorder="1" applyAlignment="1">
      <alignment horizontal="right" vertical="center"/>
    </xf>
    <xf numFmtId="9" fontId="11" fillId="0" borderId="13" xfId="3" applyNumberFormat="1" applyFont="1" applyBorder="1" applyAlignment="1" applyProtection="1">
      <alignment horizontal="right" vertical="center"/>
      <protection locked="0"/>
    </xf>
    <xf numFmtId="41" fontId="11" fillId="0" borderId="1" xfId="3" applyFont="1" applyBorder="1" applyAlignment="1" applyProtection="1">
      <alignment horizontal="center" vertical="center"/>
      <protection locked="0"/>
    </xf>
    <xf numFmtId="41" fontId="11" fillId="0" borderId="13" xfId="3" applyFont="1" applyBorder="1" applyAlignment="1" applyProtection="1">
      <alignment horizontal="center" vertical="center"/>
      <protection locked="0"/>
    </xf>
    <xf numFmtId="3" fontId="5" fillId="0" borderId="2" xfId="0" applyNumberFormat="1" applyFont="1" applyBorder="1" applyAlignment="1">
      <alignment horizontal="right" vertical="center"/>
    </xf>
    <xf numFmtId="0" fontId="5" fillId="4" borderId="13" xfId="4" applyFont="1" applyFill="1" applyBorder="1" applyAlignment="1" applyProtection="1">
      <alignment vertical="center"/>
      <protection locked="0"/>
    </xf>
    <xf numFmtId="0" fontId="5" fillId="4" borderId="13" xfId="0" applyFont="1" applyFill="1" applyBorder="1" applyAlignment="1">
      <alignment horizontal="center" vertical="center"/>
    </xf>
    <xf numFmtId="41" fontId="6" fillId="4" borderId="1" xfId="1" applyFont="1" applyFill="1" applyBorder="1" applyAlignment="1">
      <alignment horizontal="right" vertical="center"/>
    </xf>
    <xf numFmtId="9" fontId="11" fillId="4" borderId="13" xfId="3" applyNumberFormat="1" applyFont="1" applyFill="1" applyBorder="1" applyAlignment="1" applyProtection="1">
      <alignment horizontal="right" vertical="center"/>
      <protection locked="0"/>
    </xf>
    <xf numFmtId="41" fontId="11" fillId="4" borderId="1" xfId="3" applyFont="1" applyFill="1" applyBorder="1" applyAlignment="1" applyProtection="1">
      <alignment horizontal="center" vertical="center"/>
      <protection locked="0"/>
    </xf>
    <xf numFmtId="41" fontId="11" fillId="4" borderId="13" xfId="3" applyFont="1" applyFill="1" applyBorder="1" applyAlignment="1" applyProtection="1">
      <alignment horizontal="center" vertical="center"/>
      <protection locked="0"/>
    </xf>
    <xf numFmtId="3" fontId="5" fillId="4" borderId="2" xfId="0" applyNumberFormat="1" applyFont="1" applyFill="1" applyBorder="1" applyAlignment="1">
      <alignment horizontal="right" vertical="center"/>
    </xf>
    <xf numFmtId="0" fontId="12" fillId="2" borderId="33" xfId="0" applyFont="1" applyFill="1" applyBorder="1" applyAlignment="1">
      <alignment horizontal="center" vertical="center"/>
    </xf>
    <xf numFmtId="0" fontId="12" fillId="2" borderId="51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left" vertical="center"/>
    </xf>
    <xf numFmtId="0" fontId="7" fillId="2" borderId="53" xfId="0" applyFont="1" applyFill="1" applyBorder="1" applyAlignment="1">
      <alignment horizontal="left" vertical="center"/>
    </xf>
    <xf numFmtId="0" fontId="7" fillId="2" borderId="54" xfId="0" applyFont="1" applyFill="1" applyBorder="1" applyAlignment="1">
      <alignment horizontal="left" vertical="center"/>
    </xf>
    <xf numFmtId="0" fontId="7" fillId="2" borderId="55" xfId="0" applyFont="1" applyFill="1" applyBorder="1" applyAlignment="1">
      <alignment horizontal="left" vertical="center"/>
    </xf>
    <xf numFmtId="41" fontId="7" fillId="2" borderId="56" xfId="1" applyFont="1" applyFill="1" applyBorder="1" applyAlignment="1">
      <alignment horizontal="right" vertical="center"/>
    </xf>
    <xf numFmtId="3" fontId="7" fillId="2" borderId="57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12" fillId="2" borderId="52" xfId="0" applyFont="1" applyFill="1" applyBorder="1" applyAlignment="1">
      <alignment horizontal="center" vertical="center"/>
    </xf>
    <xf numFmtId="0" fontId="12" fillId="2" borderId="55" xfId="0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left" vertical="center"/>
    </xf>
    <xf numFmtId="0" fontId="12" fillId="2" borderId="59" xfId="0" applyFont="1" applyFill="1" applyBorder="1" applyAlignment="1">
      <alignment horizontal="left" vertical="center"/>
    </xf>
    <xf numFmtId="0" fontId="12" fillId="2" borderId="60" xfId="0" applyFont="1" applyFill="1" applyBorder="1" applyAlignment="1">
      <alignment horizontal="left" vertical="center"/>
    </xf>
    <xf numFmtId="41" fontId="12" fillId="2" borderId="61" xfId="1" applyFont="1" applyFill="1" applyBorder="1" applyAlignment="1">
      <alignment horizontal="right" vertical="center"/>
    </xf>
    <xf numFmtId="3" fontId="12" fillId="2" borderId="62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41" fontId="4" fillId="0" borderId="0" xfId="1" applyFont="1" applyAlignment="1">
      <alignment horizontal="right" vertical="center"/>
    </xf>
    <xf numFmtId="41" fontId="4" fillId="0" borderId="0" xfId="1" applyFont="1" applyAlignment="1">
      <alignment horizontal="center" vertical="center"/>
    </xf>
    <xf numFmtId="41" fontId="4" fillId="0" borderId="0" xfId="1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</cellXfs>
  <cellStyles count="5">
    <cellStyle name="Milliers [0] 2" xfId="1" xr:uid="{0046DDAA-EFD9-412C-9494-AF20ED47912F}"/>
    <cellStyle name="Milliers [0] 4" xfId="3" xr:uid="{14C84CCC-C867-474F-AA1C-B0F58ED17E6C}"/>
    <cellStyle name="Milliers 2" xfId="2" xr:uid="{3DB7F1C1-1140-42E4-BD31-FB59BDDF7D9A}"/>
    <cellStyle name="Normal" xfId="0" builtinId="0"/>
    <cellStyle name="Normal 3" xfId="4" xr:uid="{6ABBC104-B2FF-4203-8215-CC169273A6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CF96-DFD7-4C21-881A-459CC7310A13}">
  <dimension ref="A1:I80"/>
  <sheetViews>
    <sheetView tabSelected="1" topLeftCell="A63" zoomScale="70" zoomScaleNormal="70" workbookViewId="0">
      <selection activeCell="G48" sqref="G48:H49"/>
    </sheetView>
  </sheetViews>
  <sheetFormatPr baseColWidth="10" defaultColWidth="11.453125" defaultRowHeight="14" x14ac:dyDescent="0.35"/>
  <cols>
    <col min="1" max="1" width="9.81640625" style="1" bestFit="1" customWidth="1"/>
    <col min="2" max="2" width="94.54296875" style="2" customWidth="1"/>
    <col min="3" max="3" width="27.453125" style="1" customWidth="1"/>
    <col min="4" max="4" width="18.81640625" style="4" customWidth="1"/>
    <col min="5" max="5" width="14.453125" style="5" customWidth="1"/>
    <col min="6" max="6" width="16.81640625" style="5" customWidth="1"/>
    <col min="7" max="7" width="19.1796875" style="6" customWidth="1"/>
    <col min="8" max="8" width="20.453125" style="172" customWidth="1"/>
    <col min="9" max="9" width="11.453125" style="2"/>
    <col min="10" max="10" width="21.54296875" style="2" customWidth="1"/>
    <col min="11" max="16384" width="11.453125" style="2"/>
  </cols>
  <sheetData>
    <row r="1" spans="1:8" s="3" customFormat="1" ht="37" thickTop="1" thickBot="1" x14ac:dyDescent="0.4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s="14" customFormat="1" ht="25.4" hidden="1" customHeight="1" thickBot="1" x14ac:dyDescent="0.4">
      <c r="A2" s="11">
        <v>1</v>
      </c>
      <c r="B2" s="12" t="s">
        <v>8</v>
      </c>
      <c r="C2" s="12"/>
      <c r="D2" s="12"/>
      <c r="E2" s="12"/>
      <c r="F2" s="12"/>
      <c r="G2" s="12"/>
      <c r="H2" s="13">
        <f>G2/500</f>
        <v>0</v>
      </c>
    </row>
    <row r="3" spans="1:8" s="14" customFormat="1" ht="25.4" hidden="1" customHeight="1" thickTop="1" thickBot="1" x14ac:dyDescent="0.4">
      <c r="A3" s="11"/>
      <c r="B3" s="15" t="s">
        <v>9</v>
      </c>
      <c r="C3" s="16"/>
      <c r="D3" s="17"/>
      <c r="E3" s="18"/>
      <c r="F3" s="18"/>
      <c r="G3" s="19">
        <f>F3*E3*D3</f>
        <v>0</v>
      </c>
      <c r="H3" s="20">
        <f>G3/560</f>
        <v>0</v>
      </c>
    </row>
    <row r="4" spans="1:8" s="14" customFormat="1" ht="25.4" hidden="1" customHeight="1" thickTop="1" thickBot="1" x14ac:dyDescent="0.4">
      <c r="A4" s="11"/>
      <c r="B4" s="21" t="s">
        <v>10</v>
      </c>
      <c r="C4" s="22"/>
      <c r="D4" s="23"/>
      <c r="E4" s="24"/>
      <c r="F4" s="24"/>
      <c r="G4" s="25">
        <f>SUM(G3:G3)</f>
        <v>0</v>
      </c>
      <c r="H4" s="26">
        <f>G4/560</f>
        <v>0</v>
      </c>
    </row>
    <row r="5" spans="1:8" s="14" customFormat="1" ht="25.4" customHeight="1" thickTop="1" thickBot="1" x14ac:dyDescent="0.4">
      <c r="A5" s="11">
        <v>1</v>
      </c>
      <c r="B5" s="27" t="s">
        <v>11</v>
      </c>
      <c r="C5" s="27"/>
      <c r="D5" s="27"/>
      <c r="E5" s="27"/>
      <c r="F5" s="27"/>
      <c r="G5" s="27"/>
      <c r="H5" s="27">
        <f>G5/500</f>
        <v>0</v>
      </c>
    </row>
    <row r="6" spans="1:8" s="14" customFormat="1" ht="25.4" hidden="1" customHeight="1" thickTop="1" thickBot="1" x14ac:dyDescent="0.4">
      <c r="A6" s="11"/>
      <c r="B6" s="28" t="s">
        <v>12</v>
      </c>
      <c r="C6" s="16"/>
      <c r="D6" s="29"/>
      <c r="E6" s="18"/>
      <c r="F6" s="18"/>
      <c r="G6" s="30">
        <f t="shared" ref="G6:G7" si="0">F6*E6*D6</f>
        <v>0</v>
      </c>
      <c r="H6" s="31">
        <f t="shared" ref="H6:H7" si="1">G6/560</f>
        <v>0</v>
      </c>
    </row>
    <row r="7" spans="1:8" s="14" customFormat="1" ht="37" customHeight="1" thickTop="1" thickBot="1" x14ac:dyDescent="0.4">
      <c r="A7" s="32"/>
      <c r="B7" s="33" t="s">
        <v>69</v>
      </c>
      <c r="C7" s="34" t="s">
        <v>13</v>
      </c>
      <c r="D7" s="35">
        <v>7000</v>
      </c>
      <c r="E7" s="36">
        <v>2</v>
      </c>
      <c r="F7" s="37">
        <v>1</v>
      </c>
      <c r="G7" s="38">
        <f t="shared" si="0"/>
        <v>14000</v>
      </c>
      <c r="H7" s="39">
        <f t="shared" si="1"/>
        <v>25</v>
      </c>
    </row>
    <row r="8" spans="1:8" s="14" customFormat="1" ht="25.4" customHeight="1" thickTop="1" thickBot="1" x14ac:dyDescent="0.4">
      <c r="A8" s="43"/>
      <c r="B8" s="44" t="s">
        <v>14</v>
      </c>
      <c r="C8" s="45"/>
      <c r="D8" s="46"/>
      <c r="E8" s="47">
        <f>SUM(E7:E7)</f>
        <v>2</v>
      </c>
      <c r="F8" s="48"/>
      <c r="G8" s="49">
        <f>SUM(G7:G7)</f>
        <v>14000</v>
      </c>
      <c r="H8" s="49">
        <f>SUM(H7:H7)</f>
        <v>25</v>
      </c>
    </row>
    <row r="9" spans="1:8" s="14" customFormat="1" ht="24" customHeight="1" thickBot="1" x14ac:dyDescent="0.4">
      <c r="A9" s="50">
        <v>2</v>
      </c>
      <c r="B9" s="51" t="s">
        <v>15</v>
      </c>
      <c r="C9" s="52"/>
      <c r="D9" s="52"/>
      <c r="E9" s="52"/>
      <c r="F9" s="52"/>
      <c r="G9" s="52"/>
      <c r="H9" s="53"/>
    </row>
    <row r="10" spans="1:8" s="14" customFormat="1" ht="25.4" hidden="1" customHeight="1" thickBot="1" x14ac:dyDescent="0.4">
      <c r="A10" s="54"/>
      <c r="B10" s="55" t="s">
        <v>16</v>
      </c>
      <c r="C10" s="56" t="s">
        <v>13</v>
      </c>
      <c r="D10" s="57">
        <v>0</v>
      </c>
      <c r="E10" s="58">
        <v>3</v>
      </c>
      <c r="F10" s="37">
        <v>1</v>
      </c>
      <c r="G10" s="59">
        <f t="shared" ref="G10:G19" si="2">F10*E10*D10</f>
        <v>0</v>
      </c>
      <c r="H10" s="60">
        <f t="shared" ref="H10:H23" si="3">G10/560</f>
        <v>0</v>
      </c>
    </row>
    <row r="11" spans="1:8" s="14" customFormat="1" ht="32.25" hidden="1" customHeight="1" thickTop="1" thickBot="1" x14ac:dyDescent="0.4">
      <c r="A11" s="54"/>
      <c r="B11" s="61" t="s">
        <v>17</v>
      </c>
      <c r="C11" s="62" t="s">
        <v>13</v>
      </c>
      <c r="D11" s="41">
        <v>0</v>
      </c>
      <c r="E11" s="63">
        <v>4</v>
      </c>
      <c r="F11" s="41">
        <v>1</v>
      </c>
      <c r="G11" s="64">
        <f t="shared" si="2"/>
        <v>0</v>
      </c>
      <c r="H11" s="65">
        <f t="shared" si="3"/>
        <v>0</v>
      </c>
    </row>
    <row r="12" spans="1:8" s="14" customFormat="1" ht="25.4" hidden="1" customHeight="1" thickTop="1" thickBot="1" x14ac:dyDescent="0.4">
      <c r="A12" s="54"/>
      <c r="B12" s="61" t="s">
        <v>18</v>
      </c>
      <c r="C12" s="62" t="s">
        <v>13</v>
      </c>
      <c r="D12" s="41">
        <v>0</v>
      </c>
      <c r="E12" s="63">
        <v>3</v>
      </c>
      <c r="F12" s="41">
        <v>1</v>
      </c>
      <c r="G12" s="64">
        <f t="shared" si="2"/>
        <v>0</v>
      </c>
      <c r="H12" s="65">
        <f t="shared" si="3"/>
        <v>0</v>
      </c>
    </row>
    <row r="13" spans="1:8" s="14" customFormat="1" ht="25.4" hidden="1" customHeight="1" thickTop="1" thickBot="1" x14ac:dyDescent="0.4">
      <c r="A13" s="54"/>
      <c r="B13" s="61" t="s">
        <v>19</v>
      </c>
      <c r="C13" s="62" t="s">
        <v>13</v>
      </c>
      <c r="D13" s="41">
        <v>0</v>
      </c>
      <c r="E13" s="63">
        <v>2</v>
      </c>
      <c r="F13" s="41">
        <v>1</v>
      </c>
      <c r="G13" s="64">
        <f t="shared" si="2"/>
        <v>0</v>
      </c>
      <c r="H13" s="65">
        <f t="shared" si="3"/>
        <v>0</v>
      </c>
    </row>
    <row r="14" spans="1:8" s="14" customFormat="1" ht="25.4" hidden="1" customHeight="1" thickTop="1" thickBot="1" x14ac:dyDescent="0.4">
      <c r="A14" s="54"/>
      <c r="B14" s="61" t="s">
        <v>20</v>
      </c>
      <c r="C14" s="62" t="s">
        <v>13</v>
      </c>
      <c r="D14" s="41">
        <v>0</v>
      </c>
      <c r="E14" s="63">
        <v>2</v>
      </c>
      <c r="F14" s="41">
        <v>1</v>
      </c>
      <c r="G14" s="64">
        <f t="shared" si="2"/>
        <v>0</v>
      </c>
      <c r="H14" s="65">
        <f t="shared" si="3"/>
        <v>0</v>
      </c>
    </row>
    <row r="15" spans="1:8" s="14" customFormat="1" ht="25.4" hidden="1" customHeight="1" thickTop="1" thickBot="1" x14ac:dyDescent="0.4">
      <c r="A15" s="54"/>
      <c r="B15" s="61" t="s">
        <v>21</v>
      </c>
      <c r="C15" s="62" t="s">
        <v>13</v>
      </c>
      <c r="D15" s="41">
        <v>0</v>
      </c>
      <c r="E15" s="63">
        <v>2</v>
      </c>
      <c r="F15" s="41">
        <v>1</v>
      </c>
      <c r="G15" s="64">
        <f t="shared" si="2"/>
        <v>0</v>
      </c>
      <c r="H15" s="65">
        <f t="shared" si="3"/>
        <v>0</v>
      </c>
    </row>
    <row r="16" spans="1:8" s="14" customFormat="1" ht="25.4" hidden="1" customHeight="1" thickTop="1" thickBot="1" x14ac:dyDescent="0.4">
      <c r="A16" s="54"/>
      <c r="B16" s="61" t="s">
        <v>22</v>
      </c>
      <c r="C16" s="62" t="s">
        <v>13</v>
      </c>
      <c r="D16" s="41">
        <v>0</v>
      </c>
      <c r="E16" s="63">
        <v>3</v>
      </c>
      <c r="F16" s="41">
        <v>1</v>
      </c>
      <c r="G16" s="64">
        <f t="shared" si="2"/>
        <v>0</v>
      </c>
      <c r="H16" s="65">
        <f t="shared" si="3"/>
        <v>0</v>
      </c>
    </row>
    <row r="17" spans="1:8" s="14" customFormat="1" ht="25.4" hidden="1" customHeight="1" thickTop="1" thickBot="1" x14ac:dyDescent="0.4">
      <c r="A17" s="54"/>
      <c r="B17" s="61" t="s">
        <v>23</v>
      </c>
      <c r="C17" s="62" t="s">
        <v>13</v>
      </c>
      <c r="D17" s="41">
        <v>0</v>
      </c>
      <c r="E17" s="63">
        <v>1</v>
      </c>
      <c r="F17" s="41">
        <v>1</v>
      </c>
      <c r="G17" s="64">
        <f t="shared" si="2"/>
        <v>0</v>
      </c>
      <c r="H17" s="65">
        <f t="shared" si="3"/>
        <v>0</v>
      </c>
    </row>
    <row r="18" spans="1:8" s="14" customFormat="1" ht="25.5" hidden="1" customHeight="1" thickTop="1" thickBot="1" x14ac:dyDescent="0.4">
      <c r="A18" s="54"/>
      <c r="B18" s="61" t="s">
        <v>24</v>
      </c>
      <c r="C18" s="62" t="s">
        <v>13</v>
      </c>
      <c r="D18" s="41">
        <v>0</v>
      </c>
      <c r="E18" s="63">
        <v>1</v>
      </c>
      <c r="F18" s="41">
        <v>1</v>
      </c>
      <c r="G18" s="64">
        <f t="shared" si="2"/>
        <v>0</v>
      </c>
      <c r="H18" s="65">
        <f t="shared" si="3"/>
        <v>0</v>
      </c>
    </row>
    <row r="19" spans="1:8" s="14" customFormat="1" ht="25.4" hidden="1" customHeight="1" thickTop="1" thickBot="1" x14ac:dyDescent="0.4">
      <c r="A19" s="54"/>
      <c r="B19" s="61" t="s">
        <v>25</v>
      </c>
      <c r="C19" s="62" t="s">
        <v>13</v>
      </c>
      <c r="D19" s="41">
        <v>0</v>
      </c>
      <c r="E19" s="63">
        <v>2</v>
      </c>
      <c r="F19" s="41">
        <v>1</v>
      </c>
      <c r="G19" s="64">
        <f t="shared" si="2"/>
        <v>0</v>
      </c>
      <c r="H19" s="65">
        <f t="shared" si="3"/>
        <v>0</v>
      </c>
    </row>
    <row r="20" spans="1:8" s="14" customFormat="1" ht="25.4" hidden="1" customHeight="1" thickTop="1" thickBot="1" x14ac:dyDescent="0.4">
      <c r="A20" s="66"/>
      <c r="B20" s="61" t="s">
        <v>26</v>
      </c>
      <c r="C20" s="62" t="s">
        <v>13</v>
      </c>
      <c r="D20" s="41">
        <v>0</v>
      </c>
      <c r="E20" s="63">
        <v>1</v>
      </c>
      <c r="F20" s="41">
        <v>1</v>
      </c>
      <c r="G20" s="64">
        <f>F20*E20*D20</f>
        <v>0</v>
      </c>
      <c r="H20" s="65">
        <f>G20/560</f>
        <v>0</v>
      </c>
    </row>
    <row r="21" spans="1:8" s="14" customFormat="1" ht="25.4" hidden="1" customHeight="1" thickTop="1" thickBot="1" x14ac:dyDescent="0.4">
      <c r="A21" s="66"/>
      <c r="B21" s="61" t="s">
        <v>27</v>
      </c>
      <c r="C21" s="62" t="s">
        <v>13</v>
      </c>
      <c r="D21" s="41">
        <v>0</v>
      </c>
      <c r="E21" s="63">
        <v>3</v>
      </c>
      <c r="F21" s="41">
        <v>1</v>
      </c>
      <c r="G21" s="64">
        <f>F21*E21*D21</f>
        <v>0</v>
      </c>
      <c r="H21" s="65">
        <f>G21/560</f>
        <v>0</v>
      </c>
    </row>
    <row r="22" spans="1:8" s="14" customFormat="1" ht="25.4" hidden="1" customHeight="1" thickTop="1" thickBot="1" x14ac:dyDescent="0.4">
      <c r="A22" s="66"/>
      <c r="B22" s="61" t="s">
        <v>28</v>
      </c>
      <c r="C22" s="62" t="s">
        <v>13</v>
      </c>
      <c r="D22" s="41">
        <v>0</v>
      </c>
      <c r="E22" s="63">
        <v>2</v>
      </c>
      <c r="F22" s="41">
        <v>1</v>
      </c>
      <c r="G22" s="64">
        <f>F22*E22*D22</f>
        <v>0</v>
      </c>
      <c r="H22" s="65">
        <f>G22/560</f>
        <v>0</v>
      </c>
    </row>
    <row r="23" spans="1:8" s="14" customFormat="1" ht="25.4" customHeight="1" thickTop="1" thickBot="1" x14ac:dyDescent="0.4">
      <c r="A23" s="67"/>
      <c r="B23" s="68" t="s">
        <v>29</v>
      </c>
      <c r="C23" s="69"/>
      <c r="D23" s="70"/>
      <c r="E23" s="71">
        <v>0</v>
      </c>
      <c r="F23" s="72"/>
      <c r="G23" s="73">
        <f>SUM(G10:G22)</f>
        <v>0</v>
      </c>
      <c r="H23" s="74">
        <f t="shared" si="3"/>
        <v>0</v>
      </c>
    </row>
    <row r="24" spans="1:8" s="14" customFormat="1" ht="25.4" hidden="1" customHeight="1" thickTop="1" thickBot="1" x14ac:dyDescent="0.4">
      <c r="A24" s="75">
        <v>4</v>
      </c>
      <c r="B24" s="76" t="s">
        <v>30</v>
      </c>
      <c r="C24" s="76"/>
      <c r="D24" s="76"/>
      <c r="E24" s="76"/>
      <c r="F24" s="76"/>
      <c r="G24" s="76"/>
      <c r="H24" s="77">
        <f>G24/500</f>
        <v>0</v>
      </c>
    </row>
    <row r="25" spans="1:8" s="14" customFormat="1" ht="25.4" hidden="1" customHeight="1" thickTop="1" thickBot="1" x14ac:dyDescent="0.4">
      <c r="A25" s="11"/>
      <c r="B25" s="78" t="s">
        <v>31</v>
      </c>
      <c r="C25" s="79"/>
      <c r="D25" s="29"/>
      <c r="E25" s="80"/>
      <c r="F25" s="80"/>
      <c r="G25" s="81">
        <f>F25*E25*D25</f>
        <v>0</v>
      </c>
      <c r="H25" s="82">
        <f>G25/560</f>
        <v>0</v>
      </c>
    </row>
    <row r="26" spans="1:8" s="14" customFormat="1" ht="25.4" hidden="1" customHeight="1" thickTop="1" thickBot="1" x14ac:dyDescent="0.4">
      <c r="A26" s="11"/>
      <c r="B26" s="83" t="s">
        <v>32</v>
      </c>
      <c r="C26" s="84"/>
      <c r="D26" s="85"/>
      <c r="E26" s="86"/>
      <c r="F26" s="86"/>
      <c r="G26" s="87">
        <f>F26*E26*D26</f>
        <v>0</v>
      </c>
      <c r="H26" s="88">
        <f>G26/560</f>
        <v>0</v>
      </c>
    </row>
    <row r="27" spans="1:8" s="14" customFormat="1" ht="25.4" hidden="1" customHeight="1" thickTop="1" thickBot="1" x14ac:dyDescent="0.4">
      <c r="A27" s="11"/>
      <c r="B27" s="21" t="s">
        <v>33</v>
      </c>
      <c r="C27" s="22"/>
      <c r="D27" s="89"/>
      <c r="E27" s="90"/>
      <c r="F27" s="90"/>
      <c r="G27" s="25">
        <f>SUM(G25:G26)</f>
        <v>0</v>
      </c>
      <c r="H27" s="26">
        <f>G27/560</f>
        <v>0</v>
      </c>
    </row>
    <row r="28" spans="1:8" s="14" customFormat="1" ht="25.4" customHeight="1" thickTop="1" thickBot="1" x14ac:dyDescent="0.4">
      <c r="A28" s="11">
        <v>3</v>
      </c>
      <c r="B28" s="27" t="s">
        <v>34</v>
      </c>
      <c r="C28" s="27"/>
      <c r="D28" s="27"/>
      <c r="E28" s="27"/>
      <c r="F28" s="27"/>
      <c r="G28" s="27"/>
      <c r="H28" s="27">
        <f>G28/500</f>
        <v>0</v>
      </c>
    </row>
    <row r="29" spans="1:8" s="14" customFormat="1" ht="25.4" hidden="1" customHeight="1" thickTop="1" thickBot="1" x14ac:dyDescent="0.4">
      <c r="A29" s="11"/>
      <c r="B29" s="91"/>
      <c r="C29" s="34"/>
      <c r="D29" s="57"/>
      <c r="E29" s="37"/>
      <c r="F29" s="37"/>
      <c r="G29" s="92">
        <f>D29*E29*F29</f>
        <v>0</v>
      </c>
      <c r="H29" s="93">
        <f t="shared" ref="H29:H30" si="4">G29/560</f>
        <v>0</v>
      </c>
    </row>
    <row r="30" spans="1:8" s="14" customFormat="1" ht="25.4" hidden="1" customHeight="1" thickTop="1" thickBot="1" x14ac:dyDescent="0.4">
      <c r="A30" s="11"/>
      <c r="B30" s="91"/>
      <c r="C30" s="79"/>
      <c r="D30" s="29"/>
      <c r="E30" s="41"/>
      <c r="F30" s="80"/>
      <c r="G30" s="94">
        <f>D30*E30*F30</f>
        <v>0</v>
      </c>
      <c r="H30" s="93">
        <f t="shared" si="4"/>
        <v>0</v>
      </c>
    </row>
    <row r="31" spans="1:8" s="14" customFormat="1" ht="25.4" hidden="1" customHeight="1" thickTop="1" thickBot="1" x14ac:dyDescent="0.4">
      <c r="A31" s="11"/>
      <c r="B31" s="91"/>
      <c r="C31" s="79"/>
      <c r="D31" s="29"/>
      <c r="E31" s="41"/>
      <c r="F31" s="80"/>
      <c r="G31" s="94">
        <f t="shared" ref="G31:G36" si="5">D31*E31*F31</f>
        <v>0</v>
      </c>
      <c r="H31" s="93">
        <f>G31/560</f>
        <v>0</v>
      </c>
    </row>
    <row r="32" spans="1:8" s="14" customFormat="1" ht="25.4" hidden="1" customHeight="1" thickTop="1" thickBot="1" x14ac:dyDescent="0.4">
      <c r="A32" s="11"/>
      <c r="B32" s="91"/>
      <c r="C32" s="79"/>
      <c r="D32" s="29"/>
      <c r="E32" s="41"/>
      <c r="F32" s="80"/>
      <c r="G32" s="94">
        <f t="shared" si="5"/>
        <v>0</v>
      </c>
      <c r="H32" s="93">
        <f>G32/560</f>
        <v>0</v>
      </c>
    </row>
    <row r="33" spans="1:8" s="14" customFormat="1" ht="25.4" hidden="1" customHeight="1" thickTop="1" thickBot="1" x14ac:dyDescent="0.4">
      <c r="A33" s="11"/>
      <c r="B33" s="91"/>
      <c r="C33" s="79" t="s">
        <v>13</v>
      </c>
      <c r="D33" s="29"/>
      <c r="E33" s="41"/>
      <c r="F33" s="80"/>
      <c r="G33" s="94">
        <f t="shared" si="5"/>
        <v>0</v>
      </c>
      <c r="H33" s="93">
        <f t="shared" ref="H33:H44" si="6">G33/560</f>
        <v>0</v>
      </c>
    </row>
    <row r="34" spans="1:8" s="14" customFormat="1" ht="25.4" hidden="1" customHeight="1" thickTop="1" thickBot="1" x14ac:dyDescent="0.4">
      <c r="A34" s="11"/>
      <c r="B34" s="95"/>
      <c r="C34" s="79" t="s">
        <v>13</v>
      </c>
      <c r="D34" s="29"/>
      <c r="E34" s="41"/>
      <c r="F34" s="80"/>
      <c r="G34" s="94">
        <f t="shared" si="5"/>
        <v>0</v>
      </c>
      <c r="H34" s="93">
        <f t="shared" si="6"/>
        <v>0</v>
      </c>
    </row>
    <row r="35" spans="1:8" s="14" customFormat="1" ht="25.4" hidden="1" customHeight="1" thickTop="1" thickBot="1" x14ac:dyDescent="0.4">
      <c r="A35" s="11"/>
      <c r="B35" s="95"/>
      <c r="C35" s="79" t="s">
        <v>13</v>
      </c>
      <c r="D35" s="29"/>
      <c r="E35" s="41"/>
      <c r="F35" s="80"/>
      <c r="G35" s="94">
        <f t="shared" si="5"/>
        <v>0</v>
      </c>
      <c r="H35" s="93">
        <f t="shared" si="6"/>
        <v>0</v>
      </c>
    </row>
    <row r="36" spans="1:8" s="14" customFormat="1" ht="25.4" hidden="1" customHeight="1" thickTop="1" thickBot="1" x14ac:dyDescent="0.4">
      <c r="A36" s="11"/>
      <c r="B36" s="96"/>
      <c r="C36" s="79" t="s">
        <v>13</v>
      </c>
      <c r="D36" s="29"/>
      <c r="E36" s="41"/>
      <c r="F36" s="80"/>
      <c r="G36" s="94">
        <f t="shared" si="5"/>
        <v>0</v>
      </c>
      <c r="H36" s="93">
        <f>G36/560</f>
        <v>0</v>
      </c>
    </row>
    <row r="37" spans="1:8" s="14" customFormat="1" ht="25.4" hidden="1" customHeight="1" thickTop="1" thickBot="1" x14ac:dyDescent="0.4">
      <c r="A37" s="11"/>
      <c r="B37" s="97" t="s">
        <v>35</v>
      </c>
      <c r="C37" s="98"/>
      <c r="D37" s="99"/>
      <c r="E37" s="99">
        <f>SUM(E29:E36)</f>
        <v>0</v>
      </c>
      <c r="F37" s="99"/>
      <c r="G37" s="99">
        <f>SUM(G29:G36)</f>
        <v>0</v>
      </c>
      <c r="H37" s="99">
        <f>SUM(H29:H36)</f>
        <v>0</v>
      </c>
    </row>
    <row r="38" spans="1:8" s="14" customFormat="1" ht="25.4" hidden="1" customHeight="1" thickTop="1" thickBot="1" x14ac:dyDescent="0.4">
      <c r="A38" s="11"/>
      <c r="B38" s="100"/>
      <c r="C38" s="101"/>
      <c r="D38" s="57"/>
      <c r="E38" s="102"/>
      <c r="F38" s="103"/>
      <c r="G38" s="94">
        <f t="shared" ref="G38:G44" si="7">F38*E38*D38</f>
        <v>0</v>
      </c>
      <c r="H38" s="93">
        <f t="shared" si="6"/>
        <v>0</v>
      </c>
    </row>
    <row r="39" spans="1:8" s="14" customFormat="1" ht="25.4" hidden="1" customHeight="1" thickTop="1" thickBot="1" x14ac:dyDescent="0.4">
      <c r="A39" s="11"/>
      <c r="B39" s="100"/>
      <c r="C39" s="104"/>
      <c r="D39" s="29"/>
      <c r="E39" s="102"/>
      <c r="F39" s="103"/>
      <c r="G39" s="94">
        <f t="shared" si="7"/>
        <v>0</v>
      </c>
      <c r="H39" s="93">
        <f t="shared" si="6"/>
        <v>0</v>
      </c>
    </row>
    <row r="40" spans="1:8" s="14" customFormat="1" ht="25.4" hidden="1" customHeight="1" thickTop="1" thickBot="1" x14ac:dyDescent="0.4">
      <c r="A40" s="11"/>
      <c r="B40" s="105"/>
      <c r="C40" s="104"/>
      <c r="D40" s="106"/>
      <c r="E40" s="107"/>
      <c r="F40" s="103"/>
      <c r="G40" s="94">
        <f t="shared" si="7"/>
        <v>0</v>
      </c>
      <c r="H40" s="93">
        <f t="shared" si="6"/>
        <v>0</v>
      </c>
    </row>
    <row r="41" spans="1:8" s="14" customFormat="1" ht="25.4" hidden="1" customHeight="1" thickTop="1" thickBot="1" x14ac:dyDescent="0.4">
      <c r="A41" s="11"/>
      <c r="B41" s="105"/>
      <c r="C41" s="104"/>
      <c r="D41" s="29"/>
      <c r="E41" s="107"/>
      <c r="F41" s="103"/>
      <c r="G41" s="94">
        <f t="shared" si="7"/>
        <v>0</v>
      </c>
      <c r="H41" s="93">
        <f t="shared" si="6"/>
        <v>0</v>
      </c>
    </row>
    <row r="42" spans="1:8" s="14" customFormat="1" ht="25.4" hidden="1" customHeight="1" thickTop="1" thickBot="1" x14ac:dyDescent="0.4">
      <c r="A42" s="11"/>
      <c r="B42" s="91"/>
      <c r="C42" s="104"/>
      <c r="D42" s="29"/>
      <c r="E42" s="102"/>
      <c r="F42" s="103"/>
      <c r="G42" s="94">
        <f t="shared" si="7"/>
        <v>0</v>
      </c>
      <c r="H42" s="93">
        <f t="shared" si="6"/>
        <v>0</v>
      </c>
    </row>
    <row r="43" spans="1:8" s="14" customFormat="1" ht="25.4" hidden="1" customHeight="1" thickTop="1" thickBot="1" x14ac:dyDescent="0.4">
      <c r="A43" s="11"/>
      <c r="B43" s="91"/>
      <c r="C43" s="104"/>
      <c r="D43" s="29"/>
      <c r="E43" s="102"/>
      <c r="F43" s="103"/>
      <c r="G43" s="94">
        <f t="shared" si="7"/>
        <v>0</v>
      </c>
      <c r="H43" s="93">
        <f t="shared" si="6"/>
        <v>0</v>
      </c>
    </row>
    <row r="44" spans="1:8" s="14" customFormat="1" ht="25.4" hidden="1" customHeight="1" thickTop="1" thickBot="1" x14ac:dyDescent="0.4">
      <c r="A44" s="11"/>
      <c r="B44" s="91"/>
      <c r="C44" s="108"/>
      <c r="D44" s="109"/>
      <c r="E44" s="102"/>
      <c r="F44" s="103"/>
      <c r="G44" s="94">
        <f t="shared" si="7"/>
        <v>0</v>
      </c>
      <c r="H44" s="93">
        <f t="shared" si="6"/>
        <v>0</v>
      </c>
    </row>
    <row r="45" spans="1:8" s="14" customFormat="1" ht="25.4" hidden="1" customHeight="1" thickTop="1" thickBot="1" x14ac:dyDescent="0.4">
      <c r="A45" s="11"/>
      <c r="B45" s="97" t="s">
        <v>36</v>
      </c>
      <c r="C45" s="110"/>
      <c r="D45" s="99"/>
      <c r="E45" s="99">
        <f>+SUM(E38:E44)</f>
        <v>0</v>
      </c>
      <c r="F45" s="99"/>
      <c r="G45" s="99">
        <f>SUM(G38:G44)</f>
        <v>0</v>
      </c>
      <c r="H45" s="99">
        <f>SUM(H38:H44)</f>
        <v>0</v>
      </c>
    </row>
    <row r="46" spans="1:8" s="14" customFormat="1" ht="25.4" customHeight="1" thickTop="1" thickBot="1" x14ac:dyDescent="0.4">
      <c r="A46" s="11"/>
      <c r="B46" s="111" t="s">
        <v>37</v>
      </c>
      <c r="C46" s="112"/>
      <c r="D46" s="113"/>
      <c r="E46" s="114"/>
      <c r="F46" s="114"/>
      <c r="G46" s="115">
        <f>G37+G45</f>
        <v>0</v>
      </c>
      <c r="H46" s="115">
        <f>H37+H45</f>
        <v>0</v>
      </c>
    </row>
    <row r="47" spans="1:8" s="14" customFormat="1" ht="25.4" customHeight="1" thickTop="1" thickBot="1" x14ac:dyDescent="0.4">
      <c r="A47" s="116">
        <v>4</v>
      </c>
      <c r="B47" s="76" t="s">
        <v>38</v>
      </c>
      <c r="C47" s="76"/>
      <c r="D47" s="76"/>
      <c r="E47" s="76"/>
      <c r="F47" s="76"/>
      <c r="G47" s="76"/>
      <c r="H47" s="77"/>
    </row>
    <row r="48" spans="1:8" s="14" customFormat="1" ht="56.25" customHeight="1" thickTop="1" thickBot="1" x14ac:dyDescent="0.4">
      <c r="A48" s="117"/>
      <c r="B48" s="118" t="s">
        <v>71</v>
      </c>
      <c r="C48" s="40" t="s">
        <v>13</v>
      </c>
      <c r="D48" s="106">
        <v>40000</v>
      </c>
      <c r="E48" s="41">
        <v>10</v>
      </c>
      <c r="F48" s="41">
        <v>1</v>
      </c>
      <c r="G48" s="119">
        <f t="shared" ref="G48" si="8">F48*E48*D48</f>
        <v>400000</v>
      </c>
      <c r="H48" s="120">
        <f t="shared" ref="H48" si="9">G48/560</f>
        <v>714.28571428571433</v>
      </c>
    </row>
    <row r="49" spans="1:9" s="14" customFormat="1" ht="25.4" customHeight="1" thickTop="1" thickBot="1" x14ac:dyDescent="0.4">
      <c r="A49" s="117"/>
      <c r="B49" s="121" t="s">
        <v>39</v>
      </c>
      <c r="C49" s="110"/>
      <c r="D49" s="122"/>
      <c r="E49" s="122">
        <f>+SUM(E48:E48)</f>
        <v>10</v>
      </c>
      <c r="F49" s="122"/>
      <c r="G49" s="122">
        <f>+SUM(G48:G48)</f>
        <v>400000</v>
      </c>
      <c r="H49" s="122">
        <f>+SUM(H48:H48)</f>
        <v>714.28571428571433</v>
      </c>
    </row>
    <row r="50" spans="1:9" s="14" customFormat="1" ht="25.4" customHeight="1" thickTop="1" thickBot="1" x14ac:dyDescent="0.4">
      <c r="A50" s="117"/>
      <c r="B50" s="97" t="s">
        <v>40</v>
      </c>
      <c r="C50" s="123"/>
      <c r="D50" s="99"/>
      <c r="E50" s="99"/>
      <c r="F50" s="99"/>
      <c r="G50" s="99"/>
      <c r="H50" s="99"/>
    </row>
    <row r="51" spans="1:9" s="14" customFormat="1" ht="25.4" customHeight="1" thickTop="1" thickBot="1" x14ac:dyDescent="0.4">
      <c r="A51" s="116"/>
      <c r="B51" s="124" t="s">
        <v>41</v>
      </c>
      <c r="C51" s="125"/>
      <c r="D51" s="126"/>
      <c r="E51" s="126">
        <f>+E49+E50</f>
        <v>10</v>
      </c>
      <c r="F51" s="126">
        <f>+F49+F50</f>
        <v>0</v>
      </c>
      <c r="G51" s="126">
        <f>+G49+G50</f>
        <v>400000</v>
      </c>
      <c r="H51" s="127">
        <f>+H49+H50</f>
        <v>714.28571428571433</v>
      </c>
    </row>
    <row r="52" spans="1:9" s="14" customFormat="1" ht="25.4" customHeight="1" thickTop="1" x14ac:dyDescent="0.35">
      <c r="A52" s="128">
        <v>5</v>
      </c>
      <c r="B52" s="76" t="s">
        <v>42</v>
      </c>
      <c r="C52" s="76"/>
      <c r="D52" s="76"/>
      <c r="E52" s="76"/>
      <c r="F52" s="76"/>
      <c r="G52" s="76"/>
      <c r="H52" s="77">
        <f>G52/500</f>
        <v>0</v>
      </c>
    </row>
    <row r="53" spans="1:9" s="14" customFormat="1" ht="25.4" hidden="1" customHeight="1" thickTop="1" x14ac:dyDescent="0.35">
      <c r="A53" s="129"/>
      <c r="B53" s="130" t="s">
        <v>43</v>
      </c>
      <c r="C53" s="40" t="s">
        <v>13</v>
      </c>
      <c r="D53" s="106">
        <v>10000</v>
      </c>
      <c r="E53" s="41">
        <v>1</v>
      </c>
      <c r="F53" s="106">
        <v>1</v>
      </c>
      <c r="G53" s="106">
        <f t="shared" ref="G53:G62" si="10">E53*D53*F53</f>
        <v>10000</v>
      </c>
      <c r="H53" s="106">
        <f t="shared" ref="H53:H62" si="11">G53/560</f>
        <v>17.857142857142858</v>
      </c>
    </row>
    <row r="54" spans="1:9" s="14" customFormat="1" ht="25.4" hidden="1" customHeight="1" x14ac:dyDescent="0.35">
      <c r="A54" s="129"/>
      <c r="B54" s="130" t="s">
        <v>44</v>
      </c>
      <c r="C54" s="40" t="s">
        <v>13</v>
      </c>
      <c r="D54" s="106">
        <v>20000</v>
      </c>
      <c r="E54" s="41">
        <v>1</v>
      </c>
      <c r="F54" s="106">
        <v>1</v>
      </c>
      <c r="G54" s="106">
        <f t="shared" si="10"/>
        <v>20000</v>
      </c>
      <c r="H54" s="106">
        <f t="shared" si="11"/>
        <v>35.714285714285715</v>
      </c>
    </row>
    <row r="55" spans="1:9" s="14" customFormat="1" ht="25.4" hidden="1" customHeight="1" x14ac:dyDescent="0.35">
      <c r="A55" s="129"/>
      <c r="B55" s="130" t="s">
        <v>45</v>
      </c>
      <c r="C55" s="40" t="s">
        <v>13</v>
      </c>
      <c r="D55" s="106">
        <v>10000</v>
      </c>
      <c r="E55" s="41">
        <v>3</v>
      </c>
      <c r="F55" s="106">
        <v>1</v>
      </c>
      <c r="G55" s="106">
        <f t="shared" si="10"/>
        <v>30000</v>
      </c>
      <c r="H55" s="106">
        <f t="shared" si="11"/>
        <v>53.571428571428569</v>
      </c>
      <c r="I55" s="42"/>
    </row>
    <row r="56" spans="1:9" s="14" customFormat="1" ht="25.4" hidden="1" customHeight="1" x14ac:dyDescent="0.35">
      <c r="A56" s="129"/>
      <c r="B56" s="131" t="s">
        <v>46</v>
      </c>
      <c r="C56" s="40" t="s">
        <v>13</v>
      </c>
      <c r="D56" s="106">
        <v>5000</v>
      </c>
      <c r="E56" s="41">
        <v>2</v>
      </c>
      <c r="F56" s="106">
        <v>1</v>
      </c>
      <c r="G56" s="106">
        <f t="shared" si="10"/>
        <v>10000</v>
      </c>
      <c r="H56" s="106">
        <f t="shared" si="11"/>
        <v>17.857142857142858</v>
      </c>
    </row>
    <row r="57" spans="1:9" s="14" customFormat="1" ht="25.4" hidden="1" customHeight="1" x14ac:dyDescent="0.35">
      <c r="A57" s="129"/>
      <c r="B57" s="97" t="s">
        <v>47</v>
      </c>
      <c r="C57" s="123"/>
      <c r="D57" s="99"/>
      <c r="E57" s="99">
        <f>SUM(E53:E56)</f>
        <v>7</v>
      </c>
      <c r="F57" s="99"/>
      <c r="G57" s="99">
        <f>SUM(G53:G56)</f>
        <v>70000</v>
      </c>
      <c r="H57" s="99">
        <f>G57/560</f>
        <v>125</v>
      </c>
    </row>
    <row r="58" spans="1:9" s="14" customFormat="1" ht="25.4" hidden="1" customHeight="1" x14ac:dyDescent="0.35">
      <c r="A58" s="129"/>
      <c r="B58" s="131" t="s">
        <v>48</v>
      </c>
      <c r="C58" s="40" t="s">
        <v>13</v>
      </c>
      <c r="D58" s="106">
        <v>10000</v>
      </c>
      <c r="E58" s="41">
        <v>1</v>
      </c>
      <c r="F58" s="106">
        <v>1</v>
      </c>
      <c r="G58" s="106">
        <f t="shared" si="10"/>
        <v>10000</v>
      </c>
      <c r="H58" s="106">
        <f t="shared" si="11"/>
        <v>17.857142857142858</v>
      </c>
    </row>
    <row r="59" spans="1:9" s="14" customFormat="1" ht="25.4" hidden="1" customHeight="1" x14ac:dyDescent="0.35">
      <c r="A59" s="129"/>
      <c r="B59" s="131" t="s">
        <v>49</v>
      </c>
      <c r="C59" s="40" t="s">
        <v>13</v>
      </c>
      <c r="D59" s="106">
        <v>10000</v>
      </c>
      <c r="E59" s="41">
        <v>3</v>
      </c>
      <c r="F59" s="106">
        <v>1</v>
      </c>
      <c r="G59" s="106">
        <f t="shared" si="10"/>
        <v>30000</v>
      </c>
      <c r="H59" s="106">
        <f t="shared" si="11"/>
        <v>53.571428571428569</v>
      </c>
    </row>
    <row r="60" spans="1:9" s="14" customFormat="1" ht="25.4" hidden="1" customHeight="1" x14ac:dyDescent="0.35">
      <c r="A60" s="129"/>
      <c r="B60" s="131" t="s">
        <v>50</v>
      </c>
      <c r="C60" s="40" t="s">
        <v>13</v>
      </c>
      <c r="D60" s="106">
        <v>5000</v>
      </c>
      <c r="E60" s="41">
        <v>2</v>
      </c>
      <c r="F60" s="106">
        <v>1</v>
      </c>
      <c r="G60" s="106">
        <f t="shared" si="10"/>
        <v>10000</v>
      </c>
      <c r="H60" s="106">
        <f t="shared" si="11"/>
        <v>17.857142857142858</v>
      </c>
    </row>
    <row r="61" spans="1:9" s="14" customFormat="1" ht="25.4" hidden="1" customHeight="1" x14ac:dyDescent="0.35">
      <c r="A61" s="129"/>
      <c r="B61" s="130" t="s">
        <v>51</v>
      </c>
      <c r="C61" s="40" t="s">
        <v>13</v>
      </c>
      <c r="D61" s="106">
        <v>10000</v>
      </c>
      <c r="E61" s="41">
        <v>1</v>
      </c>
      <c r="F61" s="106">
        <v>1</v>
      </c>
      <c r="G61" s="106">
        <f t="shared" si="10"/>
        <v>10000</v>
      </c>
      <c r="H61" s="106">
        <f t="shared" si="11"/>
        <v>17.857142857142858</v>
      </c>
    </row>
    <row r="62" spans="1:9" s="14" customFormat="1" ht="25.4" hidden="1" customHeight="1" x14ac:dyDescent="0.35">
      <c r="A62" s="129"/>
      <c r="B62" s="130" t="s">
        <v>52</v>
      </c>
      <c r="C62" s="40" t="s">
        <v>13</v>
      </c>
      <c r="D62" s="106">
        <v>10000</v>
      </c>
      <c r="E62" s="41">
        <v>1</v>
      </c>
      <c r="F62" s="106">
        <v>1</v>
      </c>
      <c r="G62" s="106">
        <f t="shared" si="10"/>
        <v>10000</v>
      </c>
      <c r="H62" s="106">
        <f t="shared" si="11"/>
        <v>17.857142857142858</v>
      </c>
    </row>
    <row r="63" spans="1:9" s="14" customFormat="1" ht="25.4" customHeight="1" x14ac:dyDescent="0.35">
      <c r="A63" s="129"/>
      <c r="B63" s="61" t="s">
        <v>70</v>
      </c>
      <c r="C63" s="79" t="s">
        <v>13</v>
      </c>
      <c r="D63" s="29">
        <v>20000</v>
      </c>
      <c r="E63" s="80">
        <v>3</v>
      </c>
      <c r="F63" s="80">
        <v>1</v>
      </c>
      <c r="G63" s="132">
        <f t="shared" ref="G63:G66" si="12">E63*D63*F63</f>
        <v>60000</v>
      </c>
      <c r="H63" s="82">
        <f t="shared" ref="H63:H66" si="13">G63/560</f>
        <v>107.14285714285714</v>
      </c>
    </row>
    <row r="64" spans="1:9" s="14" customFormat="1" ht="25.4" customHeight="1" x14ac:dyDescent="0.35">
      <c r="A64" s="129"/>
      <c r="B64" s="61" t="s">
        <v>53</v>
      </c>
      <c r="C64" s="79" t="s">
        <v>13</v>
      </c>
      <c r="D64" s="29">
        <v>10000</v>
      </c>
      <c r="E64" s="80">
        <v>2</v>
      </c>
      <c r="F64" s="80">
        <v>1</v>
      </c>
      <c r="G64" s="132">
        <f t="shared" si="12"/>
        <v>20000</v>
      </c>
      <c r="H64" s="82">
        <f t="shared" si="13"/>
        <v>35.714285714285715</v>
      </c>
    </row>
    <row r="65" spans="1:8" s="14" customFormat="1" ht="25.4" customHeight="1" x14ac:dyDescent="0.35">
      <c r="A65" s="129"/>
      <c r="B65" s="61" t="s">
        <v>54</v>
      </c>
      <c r="C65" s="79" t="s">
        <v>13</v>
      </c>
      <c r="D65" s="29">
        <v>20000</v>
      </c>
      <c r="E65" s="80">
        <v>6</v>
      </c>
      <c r="F65" s="80">
        <v>1</v>
      </c>
      <c r="G65" s="132">
        <f t="shared" si="12"/>
        <v>120000</v>
      </c>
      <c r="H65" s="82">
        <f t="shared" si="13"/>
        <v>214.28571428571428</v>
      </c>
    </row>
    <row r="66" spans="1:8" s="14" customFormat="1" ht="25.4" customHeight="1" thickBot="1" x14ac:dyDescent="0.4">
      <c r="A66" s="129"/>
      <c r="B66" s="61" t="s">
        <v>55</v>
      </c>
      <c r="C66" s="79" t="s">
        <v>13</v>
      </c>
      <c r="D66" s="29">
        <v>20000</v>
      </c>
      <c r="E66" s="80">
        <v>1</v>
      </c>
      <c r="F66" s="80">
        <v>1</v>
      </c>
      <c r="G66" s="132">
        <f t="shared" si="12"/>
        <v>20000</v>
      </c>
      <c r="H66" s="82">
        <f t="shared" si="13"/>
        <v>35.714285714285715</v>
      </c>
    </row>
    <row r="67" spans="1:8" s="14" customFormat="1" ht="25.4" customHeight="1" thickBot="1" x14ac:dyDescent="0.4">
      <c r="A67" s="129"/>
      <c r="B67" s="97" t="s">
        <v>56</v>
      </c>
      <c r="C67" s="123"/>
      <c r="D67" s="99"/>
      <c r="E67" s="99">
        <f>SUM(E63:E66)</f>
        <v>12</v>
      </c>
      <c r="F67" s="99"/>
      <c r="G67" s="99">
        <f>SUM(G63:G66)</f>
        <v>220000</v>
      </c>
      <c r="H67" s="99">
        <f>SUM(H63:H66)</f>
        <v>392.85714285714283</v>
      </c>
    </row>
    <row r="68" spans="1:8" s="14" customFormat="1" ht="25.4" customHeight="1" thickBot="1" x14ac:dyDescent="0.4">
      <c r="A68" s="129"/>
      <c r="B68" s="111" t="s">
        <v>57</v>
      </c>
      <c r="C68" s="112"/>
      <c r="D68" s="113"/>
      <c r="E68" s="114">
        <f>E63+E64+E65+E66</f>
        <v>12</v>
      </c>
      <c r="F68" s="114"/>
      <c r="G68" s="114">
        <f>G63+G64+G65+G66</f>
        <v>220000</v>
      </c>
      <c r="H68" s="114">
        <f>H63+H64+H65+H66</f>
        <v>392.85714285714283</v>
      </c>
    </row>
    <row r="69" spans="1:8" s="14" customFormat="1" ht="25.4" hidden="1" customHeight="1" thickBot="1" x14ac:dyDescent="0.4">
      <c r="A69" s="129"/>
      <c r="B69" s="133" t="s">
        <v>58</v>
      </c>
      <c r="C69" s="133"/>
      <c r="D69" s="133"/>
      <c r="E69" s="134" t="e">
        <f>SUM(#REF!)</f>
        <v>#REF!</v>
      </c>
      <c r="F69" s="133"/>
      <c r="G69" s="133"/>
      <c r="H69" s="135">
        <f>G69/500</f>
        <v>0</v>
      </c>
    </row>
    <row r="70" spans="1:8" s="14" customFormat="1" ht="25.4" hidden="1" customHeight="1" thickTop="1" thickBot="1" x14ac:dyDescent="0.4">
      <c r="A70" s="129"/>
      <c r="B70" s="78" t="s">
        <v>59</v>
      </c>
      <c r="C70" s="79"/>
      <c r="D70" s="81"/>
      <c r="E70" s="80"/>
      <c r="F70" s="80"/>
      <c r="G70" s="81">
        <f>F70*E70*D70</f>
        <v>0</v>
      </c>
      <c r="H70" s="82">
        <f t="shared" ref="H70:H78" si="14">G70/560</f>
        <v>0</v>
      </c>
    </row>
    <row r="71" spans="1:8" s="14" customFormat="1" ht="25.4" hidden="1" customHeight="1" thickTop="1" thickBot="1" x14ac:dyDescent="0.4">
      <c r="A71" s="129"/>
      <c r="B71" s="83" t="s">
        <v>60</v>
      </c>
      <c r="C71" s="84"/>
      <c r="D71" s="85"/>
      <c r="E71" s="86"/>
      <c r="F71" s="86"/>
      <c r="G71" s="87">
        <f>F71*E71*D71</f>
        <v>0</v>
      </c>
      <c r="H71" s="88">
        <f t="shared" si="14"/>
        <v>0</v>
      </c>
    </row>
    <row r="72" spans="1:8" s="136" customFormat="1" ht="25.4" hidden="1" customHeight="1" thickTop="1" thickBot="1" x14ac:dyDescent="0.4">
      <c r="A72" s="129"/>
      <c r="B72" s="21" t="s">
        <v>61</v>
      </c>
      <c r="C72" s="22"/>
      <c r="D72" s="23"/>
      <c r="E72" s="24"/>
      <c r="F72" s="24"/>
      <c r="G72" s="25">
        <f>SUM(G70:G71)</f>
        <v>0</v>
      </c>
      <c r="H72" s="26">
        <f t="shared" si="14"/>
        <v>0</v>
      </c>
    </row>
    <row r="73" spans="1:8" s="136" customFormat="1" ht="25.4" customHeight="1" thickTop="1" thickBot="1" x14ac:dyDescent="0.4">
      <c r="A73" s="129"/>
      <c r="B73" s="137" t="s">
        <v>62</v>
      </c>
      <c r="C73" s="138"/>
      <c r="D73" s="139">
        <f>G8</f>
        <v>14000</v>
      </c>
      <c r="E73" s="140">
        <v>0.01</v>
      </c>
      <c r="F73" s="141">
        <v>1</v>
      </c>
      <c r="G73" s="142">
        <f t="shared" ref="G73:G75" si="15">D73*E73*F73</f>
        <v>140</v>
      </c>
      <c r="H73" s="143">
        <f t="shared" si="14"/>
        <v>0.25</v>
      </c>
    </row>
    <row r="74" spans="1:8" s="136" customFormat="1" ht="25.4" customHeight="1" thickBot="1" x14ac:dyDescent="0.4">
      <c r="A74" s="129"/>
      <c r="B74" s="137" t="s">
        <v>63</v>
      </c>
      <c r="C74" s="138"/>
      <c r="D74" s="139">
        <f>G51</f>
        <v>400000</v>
      </c>
      <c r="E74" s="140">
        <v>0.01</v>
      </c>
      <c r="F74" s="141">
        <v>1</v>
      </c>
      <c r="G74" s="142">
        <f t="shared" si="15"/>
        <v>4000</v>
      </c>
      <c r="H74" s="143">
        <f t="shared" si="14"/>
        <v>7.1428571428571432</v>
      </c>
    </row>
    <row r="75" spans="1:8" s="136" customFormat="1" ht="25.4" customHeight="1" thickBot="1" x14ac:dyDescent="0.4">
      <c r="A75" s="129"/>
      <c r="B75" s="137" t="s">
        <v>64</v>
      </c>
      <c r="C75" s="138"/>
      <c r="D75" s="139">
        <f>G68</f>
        <v>220000</v>
      </c>
      <c r="E75" s="140">
        <v>0.01</v>
      </c>
      <c r="F75" s="141">
        <v>1</v>
      </c>
      <c r="G75" s="142">
        <f t="shared" si="15"/>
        <v>2200</v>
      </c>
      <c r="H75" s="143">
        <f t="shared" si="14"/>
        <v>3.9285714285714284</v>
      </c>
    </row>
    <row r="76" spans="1:8" s="136" customFormat="1" ht="25.4" customHeight="1" thickBot="1" x14ac:dyDescent="0.4">
      <c r="A76" s="129"/>
      <c r="B76" s="144" t="s">
        <v>65</v>
      </c>
      <c r="C76" s="145"/>
      <c r="D76" s="146">
        <f>D73+D74+D75</f>
        <v>634000</v>
      </c>
      <c r="E76" s="147"/>
      <c r="F76" s="148"/>
      <c r="G76" s="149">
        <f>G73+G74+G75</f>
        <v>6340</v>
      </c>
      <c r="H76" s="150">
        <f t="shared" si="14"/>
        <v>11.321428571428571</v>
      </c>
    </row>
    <row r="77" spans="1:8" s="159" customFormat="1" ht="25.4" customHeight="1" thickTop="1" thickBot="1" x14ac:dyDescent="0.4">
      <c r="A77" s="151" t="s">
        <v>66</v>
      </c>
      <c r="B77" s="152"/>
      <c r="C77" s="153" t="s">
        <v>67</v>
      </c>
      <c r="D77" s="154"/>
      <c r="E77" s="155"/>
      <c r="F77" s="156"/>
      <c r="G77" s="157">
        <f>SUM(G8,G46,G51,G68,G76)</f>
        <v>640340</v>
      </c>
      <c r="H77" s="158">
        <f t="shared" si="14"/>
        <v>1143.4642857142858</v>
      </c>
    </row>
    <row r="78" spans="1:8" s="167" customFormat="1" ht="25.4" customHeight="1" thickTop="1" thickBot="1" x14ac:dyDescent="0.4">
      <c r="A78" s="160"/>
      <c r="B78" s="161"/>
      <c r="C78" s="162" t="s">
        <v>68</v>
      </c>
      <c r="D78" s="163"/>
      <c r="E78" s="163"/>
      <c r="F78" s="164"/>
      <c r="G78" s="165">
        <f>G77</f>
        <v>640340</v>
      </c>
      <c r="H78" s="166">
        <f t="shared" si="14"/>
        <v>1143.4642857142858</v>
      </c>
    </row>
    <row r="79" spans="1:8" s="14" customFormat="1" ht="25.4" customHeight="1" thickTop="1" x14ac:dyDescent="0.35">
      <c r="A79" s="3"/>
      <c r="D79" s="168"/>
      <c r="E79" s="169"/>
      <c r="F79" s="169"/>
      <c r="G79" s="170"/>
      <c r="H79" s="171"/>
    </row>
    <row r="80" spans="1:8" s="14" customFormat="1" ht="25.4" customHeight="1" x14ac:dyDescent="0.35">
      <c r="A80" s="3"/>
      <c r="D80" s="168"/>
      <c r="E80" s="169"/>
      <c r="F80" s="169"/>
      <c r="G80" s="170"/>
      <c r="H80" s="171"/>
    </row>
  </sheetData>
  <mergeCells count="17">
    <mergeCell ref="A52:A76"/>
    <mergeCell ref="B52:H52"/>
    <mergeCell ref="A77:B78"/>
    <mergeCell ref="C77:F77"/>
    <mergeCell ref="C78:F78"/>
    <mergeCell ref="A24:A27"/>
    <mergeCell ref="B24:H24"/>
    <mergeCell ref="A28:A46"/>
    <mergeCell ref="B28:H28"/>
    <mergeCell ref="A47:A51"/>
    <mergeCell ref="B47:H47"/>
    <mergeCell ref="A2:A4"/>
    <mergeCell ref="B2:H2"/>
    <mergeCell ref="A5:A8"/>
    <mergeCell ref="B5:H5"/>
    <mergeCell ref="A9:A23"/>
    <mergeCell ref="B9:H9"/>
  </mergeCells>
  <dataValidations count="1">
    <dataValidation type="list" allowBlank="1" showInputMessage="1" showErrorMessage="1" sqref="C3 C6:C7 C25:C26 C70:C71 C29:C36 C10:C22 C48 C38:C44 C53:C62 C63:C66" xr:uid="{A66A5351-2EC0-48B3-BA14-AC35F652328A}">
      <formula1>"Projet USAID,Projet LHSPLA-PEPFAR,Projet LHSPLA-PMI,Nouvelle PSP CI,FM,Autres (à Préciser)"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GONTOUGO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Richard Desgueyes GUEI</dc:creator>
  <cp:lastModifiedBy>Christian Richard Desgueyes GUEI</cp:lastModifiedBy>
  <dcterms:created xsi:type="dcterms:W3CDTF">2025-01-06T15:18:40Z</dcterms:created>
  <dcterms:modified xsi:type="dcterms:W3CDTF">2025-01-06T15:44:55Z</dcterms:modified>
</cp:coreProperties>
</file>