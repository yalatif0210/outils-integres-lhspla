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652BC19-7766-4499-9225-8D4779BC7EE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AWP FY26" sheetId="1" r:id="rId1"/>
    <sheet name="REF_AWP" sheetId="2" r:id="rId2"/>
    <sheet name="Feuil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5" i="3" l="1"/>
  <c r="C255" i="3"/>
  <c r="E255" i="3"/>
  <c r="D255" i="3" s="1"/>
  <c r="B256" i="3"/>
  <c r="C256" i="3"/>
  <c r="E256" i="3"/>
  <c r="D256" i="3" s="1"/>
  <c r="B257" i="3"/>
  <c r="C257" i="3"/>
  <c r="E257" i="3"/>
  <c r="D257" i="3" s="1"/>
  <c r="B258" i="3"/>
  <c r="C258" i="3"/>
  <c r="E258" i="3"/>
  <c r="D258" i="3" s="1"/>
  <c r="B259" i="3"/>
  <c r="C259" i="3"/>
  <c r="E259" i="3"/>
  <c r="D259" i="3" s="1"/>
  <c r="B260" i="3"/>
  <c r="C260" i="3"/>
  <c r="E260" i="3"/>
  <c r="D260" i="3" s="1"/>
  <c r="B261" i="3"/>
  <c r="C261" i="3"/>
  <c r="E261" i="3"/>
  <c r="D261" i="3" s="1"/>
  <c r="B262" i="3"/>
  <c r="C262" i="3"/>
  <c r="E262" i="3"/>
  <c r="D262" i="3" s="1"/>
  <c r="B263" i="3"/>
  <c r="C263" i="3"/>
  <c r="E263" i="3"/>
  <c r="D263" i="3" s="1"/>
  <c r="B264" i="3"/>
  <c r="C264" i="3"/>
  <c r="E264" i="3"/>
  <c r="D264" i="3" s="1"/>
  <c r="B265" i="3"/>
  <c r="C265" i="3"/>
  <c r="E265" i="3"/>
  <c r="D265" i="3" s="1"/>
  <c r="B266" i="3"/>
  <c r="C266" i="3"/>
  <c r="E266" i="3"/>
  <c r="D266" i="3" s="1"/>
  <c r="B267" i="3"/>
  <c r="C267" i="3"/>
  <c r="E267" i="3"/>
  <c r="D267" i="3" s="1"/>
  <c r="B268" i="3"/>
  <c r="C268" i="3"/>
  <c r="E268" i="3"/>
  <c r="D268" i="3" s="1"/>
  <c r="B269" i="3"/>
  <c r="C269" i="3"/>
  <c r="E269" i="3"/>
  <c r="D269" i="3" s="1"/>
  <c r="B270" i="3"/>
  <c r="C270" i="3"/>
  <c r="E270" i="3"/>
  <c r="D270" i="3" s="1"/>
  <c r="B271" i="3"/>
  <c r="C271" i="3"/>
  <c r="E271" i="3"/>
  <c r="D271" i="3" s="1"/>
  <c r="B272" i="3"/>
  <c r="C272" i="3"/>
  <c r="E272" i="3"/>
  <c r="D272" i="3" s="1"/>
  <c r="B273" i="3"/>
  <c r="C273" i="3"/>
  <c r="E273" i="3"/>
  <c r="D273" i="3" s="1"/>
  <c r="B274" i="3"/>
  <c r="C274" i="3"/>
  <c r="E274" i="3"/>
  <c r="D274" i="3" s="1"/>
  <c r="B275" i="3"/>
  <c r="C275" i="3"/>
  <c r="E275" i="3"/>
  <c r="D275" i="3" s="1"/>
  <c r="B276" i="3"/>
  <c r="C276" i="3"/>
  <c r="E276" i="3"/>
  <c r="D276" i="3" s="1"/>
  <c r="B246" i="3"/>
  <c r="C246" i="3"/>
  <c r="E246" i="3"/>
  <c r="D246" i="3" s="1"/>
  <c r="B247" i="3"/>
  <c r="C247" i="3"/>
  <c r="E247" i="3"/>
  <c r="D247" i="3" s="1"/>
  <c r="B248" i="3"/>
  <c r="C248" i="3"/>
  <c r="E248" i="3"/>
  <c r="D248" i="3" s="1"/>
  <c r="B249" i="3"/>
  <c r="C249" i="3"/>
  <c r="E249" i="3"/>
  <c r="D249" i="3" s="1"/>
  <c r="B250" i="3"/>
  <c r="C250" i="3"/>
  <c r="E250" i="3"/>
  <c r="D250" i="3" s="1"/>
  <c r="B251" i="3"/>
  <c r="C251" i="3"/>
  <c r="E251" i="3"/>
  <c r="D251" i="3" s="1"/>
  <c r="B252" i="3"/>
  <c r="C252" i="3"/>
  <c r="E252" i="3"/>
  <c r="D252" i="3" s="1"/>
  <c r="B253" i="3"/>
  <c r="C253" i="3"/>
  <c r="E253" i="3"/>
  <c r="D253" i="3" s="1"/>
  <c r="B254" i="3"/>
  <c r="C254" i="3"/>
  <c r="E254" i="3"/>
  <c r="D254" i="3" s="1"/>
  <c r="B186" i="3"/>
  <c r="C186" i="3"/>
  <c r="E186" i="3"/>
  <c r="D186" i="3" s="1"/>
  <c r="B187" i="3"/>
  <c r="C187" i="3"/>
  <c r="E187" i="3"/>
  <c r="D187" i="3" s="1"/>
  <c r="B188" i="3"/>
  <c r="C188" i="3"/>
  <c r="E188" i="3"/>
  <c r="D188" i="3" s="1"/>
  <c r="B189" i="3"/>
  <c r="C189" i="3"/>
  <c r="E189" i="3"/>
  <c r="D189" i="3" s="1"/>
  <c r="B190" i="3"/>
  <c r="C190" i="3"/>
  <c r="E190" i="3"/>
  <c r="D190" i="3" s="1"/>
  <c r="B191" i="3"/>
  <c r="C191" i="3"/>
  <c r="E191" i="3"/>
  <c r="D191" i="3" s="1"/>
  <c r="B192" i="3"/>
  <c r="C192" i="3"/>
  <c r="E192" i="3"/>
  <c r="D192" i="3" s="1"/>
  <c r="B193" i="3"/>
  <c r="C193" i="3"/>
  <c r="E193" i="3"/>
  <c r="D193" i="3" s="1"/>
  <c r="B194" i="3"/>
  <c r="C194" i="3"/>
  <c r="E194" i="3"/>
  <c r="D194" i="3" s="1"/>
  <c r="B195" i="3"/>
  <c r="C195" i="3"/>
  <c r="E195" i="3"/>
  <c r="D195" i="3" s="1"/>
  <c r="B196" i="3"/>
  <c r="C196" i="3"/>
  <c r="E196" i="3"/>
  <c r="D196" i="3" s="1"/>
  <c r="B197" i="3"/>
  <c r="C197" i="3"/>
  <c r="E197" i="3"/>
  <c r="D197" i="3" s="1"/>
  <c r="B198" i="3"/>
  <c r="C198" i="3"/>
  <c r="E198" i="3"/>
  <c r="D198" i="3" s="1"/>
  <c r="B199" i="3"/>
  <c r="C199" i="3"/>
  <c r="E199" i="3"/>
  <c r="D199" i="3" s="1"/>
  <c r="B200" i="3"/>
  <c r="C200" i="3"/>
  <c r="E200" i="3"/>
  <c r="D200" i="3" s="1"/>
  <c r="B201" i="3"/>
  <c r="C201" i="3"/>
  <c r="E201" i="3"/>
  <c r="D201" i="3" s="1"/>
  <c r="B202" i="3"/>
  <c r="C202" i="3"/>
  <c r="E202" i="3"/>
  <c r="D202" i="3" s="1"/>
  <c r="B203" i="3"/>
  <c r="C203" i="3"/>
  <c r="E203" i="3"/>
  <c r="D203" i="3" s="1"/>
  <c r="B204" i="3"/>
  <c r="C204" i="3"/>
  <c r="E204" i="3"/>
  <c r="D204" i="3" s="1"/>
  <c r="B205" i="3"/>
  <c r="C205" i="3"/>
  <c r="E205" i="3"/>
  <c r="D205" i="3" s="1"/>
  <c r="B206" i="3"/>
  <c r="C206" i="3"/>
  <c r="E206" i="3"/>
  <c r="D206" i="3" s="1"/>
  <c r="B207" i="3"/>
  <c r="C207" i="3"/>
  <c r="E207" i="3"/>
  <c r="D207" i="3" s="1"/>
  <c r="B208" i="3"/>
  <c r="C208" i="3"/>
  <c r="E208" i="3"/>
  <c r="D208" i="3" s="1"/>
  <c r="B209" i="3"/>
  <c r="C209" i="3"/>
  <c r="E209" i="3"/>
  <c r="D209" i="3" s="1"/>
  <c r="B210" i="3"/>
  <c r="C210" i="3"/>
  <c r="E210" i="3"/>
  <c r="D210" i="3" s="1"/>
  <c r="B211" i="3"/>
  <c r="C211" i="3"/>
  <c r="E211" i="3"/>
  <c r="D211" i="3" s="1"/>
  <c r="B212" i="3"/>
  <c r="C212" i="3"/>
  <c r="E212" i="3"/>
  <c r="D212" i="3" s="1"/>
  <c r="B213" i="3"/>
  <c r="C213" i="3"/>
  <c r="E213" i="3"/>
  <c r="D213" i="3" s="1"/>
  <c r="B214" i="3"/>
  <c r="C214" i="3"/>
  <c r="E214" i="3"/>
  <c r="D214" i="3" s="1"/>
  <c r="B215" i="3"/>
  <c r="C215" i="3"/>
  <c r="E215" i="3"/>
  <c r="D215" i="3" s="1"/>
  <c r="B216" i="3"/>
  <c r="C216" i="3"/>
  <c r="E216" i="3"/>
  <c r="D216" i="3" s="1"/>
  <c r="B217" i="3"/>
  <c r="C217" i="3"/>
  <c r="E217" i="3"/>
  <c r="D217" i="3" s="1"/>
  <c r="B218" i="3"/>
  <c r="C218" i="3"/>
  <c r="E218" i="3"/>
  <c r="D218" i="3" s="1"/>
  <c r="B219" i="3"/>
  <c r="C219" i="3"/>
  <c r="E219" i="3"/>
  <c r="D219" i="3" s="1"/>
  <c r="B220" i="3"/>
  <c r="C220" i="3"/>
  <c r="E220" i="3"/>
  <c r="D220" i="3" s="1"/>
  <c r="B221" i="3"/>
  <c r="C221" i="3"/>
  <c r="E221" i="3"/>
  <c r="D221" i="3" s="1"/>
  <c r="B222" i="3"/>
  <c r="C222" i="3"/>
  <c r="E222" i="3"/>
  <c r="D222" i="3" s="1"/>
  <c r="B223" i="3"/>
  <c r="C223" i="3"/>
  <c r="E223" i="3"/>
  <c r="D223" i="3" s="1"/>
  <c r="B224" i="3"/>
  <c r="C224" i="3"/>
  <c r="E224" i="3"/>
  <c r="D224" i="3" s="1"/>
  <c r="B225" i="3"/>
  <c r="C225" i="3"/>
  <c r="E225" i="3"/>
  <c r="D225" i="3" s="1"/>
  <c r="B226" i="3"/>
  <c r="C226" i="3"/>
  <c r="E226" i="3"/>
  <c r="D226" i="3" s="1"/>
  <c r="B227" i="3"/>
  <c r="C227" i="3"/>
  <c r="E227" i="3"/>
  <c r="D227" i="3" s="1"/>
  <c r="B228" i="3"/>
  <c r="C228" i="3"/>
  <c r="E228" i="3"/>
  <c r="D228" i="3" s="1"/>
  <c r="B229" i="3"/>
  <c r="C229" i="3"/>
  <c r="E229" i="3"/>
  <c r="D229" i="3" s="1"/>
  <c r="B230" i="3"/>
  <c r="C230" i="3"/>
  <c r="E230" i="3"/>
  <c r="D230" i="3" s="1"/>
  <c r="B231" i="3"/>
  <c r="C231" i="3"/>
  <c r="E231" i="3"/>
  <c r="D231" i="3" s="1"/>
  <c r="B232" i="3"/>
  <c r="C232" i="3"/>
  <c r="E232" i="3"/>
  <c r="D232" i="3" s="1"/>
  <c r="B233" i="3"/>
  <c r="C233" i="3"/>
  <c r="E233" i="3"/>
  <c r="D233" i="3" s="1"/>
  <c r="B234" i="3"/>
  <c r="C234" i="3"/>
  <c r="E234" i="3"/>
  <c r="D234" i="3" s="1"/>
  <c r="B235" i="3"/>
  <c r="C235" i="3"/>
  <c r="E235" i="3"/>
  <c r="D235" i="3" s="1"/>
  <c r="B236" i="3"/>
  <c r="C236" i="3"/>
  <c r="E236" i="3"/>
  <c r="D236" i="3" s="1"/>
  <c r="B237" i="3"/>
  <c r="C237" i="3"/>
  <c r="E237" i="3"/>
  <c r="D237" i="3" s="1"/>
  <c r="B238" i="3"/>
  <c r="C238" i="3"/>
  <c r="E238" i="3"/>
  <c r="D238" i="3" s="1"/>
  <c r="B239" i="3"/>
  <c r="C239" i="3"/>
  <c r="E239" i="3"/>
  <c r="D239" i="3" s="1"/>
  <c r="B240" i="3"/>
  <c r="C240" i="3"/>
  <c r="E240" i="3"/>
  <c r="D240" i="3" s="1"/>
  <c r="B241" i="3"/>
  <c r="C241" i="3"/>
  <c r="E241" i="3"/>
  <c r="D241" i="3" s="1"/>
  <c r="B242" i="3"/>
  <c r="C242" i="3"/>
  <c r="E242" i="3"/>
  <c r="D242" i="3" s="1"/>
  <c r="B243" i="3"/>
  <c r="C243" i="3"/>
  <c r="E243" i="3"/>
  <c r="D243" i="3" s="1"/>
  <c r="B244" i="3"/>
  <c r="C244" i="3"/>
  <c r="E244" i="3"/>
  <c r="D244" i="3" s="1"/>
  <c r="B245" i="3"/>
  <c r="C245" i="3"/>
  <c r="E245" i="3"/>
  <c r="D245" i="3" s="1"/>
  <c r="B137" i="3"/>
  <c r="C137" i="3"/>
  <c r="E137" i="3"/>
  <c r="D137" i="3" s="1"/>
  <c r="B138" i="3"/>
  <c r="C138" i="3"/>
  <c r="E138" i="3"/>
  <c r="D138" i="3" s="1"/>
  <c r="B139" i="3"/>
  <c r="C139" i="3"/>
  <c r="E139" i="3"/>
  <c r="D139" i="3" s="1"/>
  <c r="B140" i="3"/>
  <c r="C140" i="3"/>
  <c r="E140" i="3"/>
  <c r="D140" i="3" s="1"/>
  <c r="B141" i="3"/>
  <c r="C141" i="3"/>
  <c r="E141" i="3"/>
  <c r="D141" i="3" s="1"/>
  <c r="B142" i="3"/>
  <c r="C142" i="3"/>
  <c r="E142" i="3"/>
  <c r="D142" i="3" s="1"/>
  <c r="B143" i="3"/>
  <c r="C143" i="3"/>
  <c r="E143" i="3"/>
  <c r="D143" i="3" s="1"/>
  <c r="B144" i="3"/>
  <c r="C144" i="3"/>
  <c r="E144" i="3"/>
  <c r="D144" i="3" s="1"/>
  <c r="B145" i="3"/>
  <c r="C145" i="3"/>
  <c r="E145" i="3"/>
  <c r="D145" i="3" s="1"/>
  <c r="B146" i="3"/>
  <c r="C146" i="3"/>
  <c r="E146" i="3"/>
  <c r="D146" i="3" s="1"/>
  <c r="B147" i="3"/>
  <c r="C147" i="3"/>
  <c r="E147" i="3"/>
  <c r="D147" i="3" s="1"/>
  <c r="B148" i="3"/>
  <c r="C148" i="3"/>
  <c r="E148" i="3"/>
  <c r="D148" i="3" s="1"/>
  <c r="B149" i="3"/>
  <c r="C149" i="3"/>
  <c r="E149" i="3"/>
  <c r="D149" i="3" s="1"/>
  <c r="B150" i="3"/>
  <c r="C150" i="3"/>
  <c r="E150" i="3"/>
  <c r="D150" i="3" s="1"/>
  <c r="B151" i="3"/>
  <c r="C151" i="3"/>
  <c r="E151" i="3"/>
  <c r="D151" i="3" s="1"/>
  <c r="B152" i="3"/>
  <c r="C152" i="3"/>
  <c r="E152" i="3"/>
  <c r="D152" i="3" s="1"/>
  <c r="B153" i="3"/>
  <c r="C153" i="3"/>
  <c r="E153" i="3"/>
  <c r="D153" i="3" s="1"/>
  <c r="B154" i="3"/>
  <c r="C154" i="3"/>
  <c r="E154" i="3"/>
  <c r="D154" i="3" s="1"/>
  <c r="B155" i="3"/>
  <c r="C155" i="3"/>
  <c r="E155" i="3"/>
  <c r="D155" i="3" s="1"/>
  <c r="B156" i="3"/>
  <c r="C156" i="3"/>
  <c r="E156" i="3"/>
  <c r="D156" i="3" s="1"/>
  <c r="B157" i="3"/>
  <c r="C157" i="3"/>
  <c r="E157" i="3"/>
  <c r="D157" i="3" s="1"/>
  <c r="B158" i="3"/>
  <c r="C158" i="3"/>
  <c r="E158" i="3"/>
  <c r="D158" i="3" s="1"/>
  <c r="B159" i="3"/>
  <c r="C159" i="3"/>
  <c r="E159" i="3"/>
  <c r="D159" i="3" s="1"/>
  <c r="B160" i="3"/>
  <c r="C160" i="3"/>
  <c r="E160" i="3"/>
  <c r="D160" i="3" s="1"/>
  <c r="B161" i="3"/>
  <c r="C161" i="3"/>
  <c r="E161" i="3"/>
  <c r="D161" i="3" s="1"/>
  <c r="B162" i="3"/>
  <c r="C162" i="3"/>
  <c r="E162" i="3"/>
  <c r="D162" i="3" s="1"/>
  <c r="B163" i="3"/>
  <c r="C163" i="3"/>
  <c r="E163" i="3"/>
  <c r="D163" i="3" s="1"/>
  <c r="B164" i="3"/>
  <c r="C164" i="3"/>
  <c r="E164" i="3"/>
  <c r="D164" i="3" s="1"/>
  <c r="B165" i="3"/>
  <c r="C165" i="3"/>
  <c r="E165" i="3"/>
  <c r="D165" i="3" s="1"/>
  <c r="B166" i="3"/>
  <c r="C166" i="3"/>
  <c r="E166" i="3"/>
  <c r="D166" i="3" s="1"/>
  <c r="B167" i="3"/>
  <c r="C167" i="3"/>
  <c r="E167" i="3"/>
  <c r="D167" i="3" s="1"/>
  <c r="B168" i="3"/>
  <c r="C168" i="3"/>
  <c r="E168" i="3"/>
  <c r="D168" i="3" s="1"/>
  <c r="B169" i="3"/>
  <c r="C169" i="3"/>
  <c r="E169" i="3"/>
  <c r="D169" i="3" s="1"/>
  <c r="B170" i="3"/>
  <c r="C170" i="3"/>
  <c r="E170" i="3"/>
  <c r="D170" i="3" s="1"/>
  <c r="B171" i="3"/>
  <c r="C171" i="3"/>
  <c r="E171" i="3"/>
  <c r="D171" i="3" s="1"/>
  <c r="B172" i="3"/>
  <c r="C172" i="3"/>
  <c r="E172" i="3"/>
  <c r="D172" i="3" s="1"/>
  <c r="B173" i="3"/>
  <c r="C173" i="3"/>
  <c r="E173" i="3"/>
  <c r="D173" i="3" s="1"/>
  <c r="B174" i="3"/>
  <c r="C174" i="3"/>
  <c r="E174" i="3"/>
  <c r="D174" i="3" s="1"/>
  <c r="B175" i="3"/>
  <c r="C175" i="3"/>
  <c r="E175" i="3"/>
  <c r="D175" i="3" s="1"/>
  <c r="B176" i="3"/>
  <c r="C176" i="3"/>
  <c r="E176" i="3"/>
  <c r="D176" i="3" s="1"/>
  <c r="B177" i="3"/>
  <c r="C177" i="3"/>
  <c r="E177" i="3"/>
  <c r="D177" i="3" s="1"/>
  <c r="B178" i="3"/>
  <c r="C178" i="3"/>
  <c r="E178" i="3"/>
  <c r="D178" i="3" s="1"/>
  <c r="B179" i="3"/>
  <c r="C179" i="3"/>
  <c r="E179" i="3"/>
  <c r="D179" i="3" s="1"/>
  <c r="B180" i="3"/>
  <c r="C180" i="3"/>
  <c r="E180" i="3"/>
  <c r="D180" i="3" s="1"/>
  <c r="B181" i="3"/>
  <c r="C181" i="3"/>
  <c r="E181" i="3"/>
  <c r="D181" i="3" s="1"/>
  <c r="B182" i="3"/>
  <c r="C182" i="3"/>
  <c r="E182" i="3"/>
  <c r="D182" i="3" s="1"/>
  <c r="B183" i="3"/>
  <c r="C183" i="3"/>
  <c r="E183" i="3"/>
  <c r="D183" i="3" s="1"/>
  <c r="B184" i="3"/>
  <c r="C184" i="3"/>
  <c r="E184" i="3"/>
  <c r="D184" i="3" s="1"/>
  <c r="B185" i="3"/>
  <c r="C185" i="3"/>
  <c r="E185" i="3"/>
  <c r="D185" i="3" s="1"/>
  <c r="B128" i="3" l="1"/>
  <c r="C128" i="3"/>
  <c r="E128" i="3"/>
  <c r="D128" i="3" s="1"/>
  <c r="B129" i="3"/>
  <c r="C129" i="3"/>
  <c r="E129" i="3"/>
  <c r="D129" i="3" s="1"/>
  <c r="B130" i="3"/>
  <c r="C130" i="3"/>
  <c r="E130" i="3"/>
  <c r="D130" i="3" s="1"/>
  <c r="B131" i="3"/>
  <c r="C131" i="3"/>
  <c r="E131" i="3"/>
  <c r="D131" i="3" s="1"/>
  <c r="B132" i="3"/>
  <c r="C132" i="3"/>
  <c r="E132" i="3"/>
  <c r="D132" i="3" s="1"/>
  <c r="B133" i="3"/>
  <c r="C133" i="3"/>
  <c r="E133" i="3"/>
  <c r="D133" i="3" s="1"/>
  <c r="B134" i="3"/>
  <c r="C134" i="3"/>
  <c r="E134" i="3"/>
  <c r="D134" i="3" s="1"/>
  <c r="B135" i="3"/>
  <c r="C135" i="3"/>
  <c r="E135" i="3"/>
  <c r="D135" i="3" s="1"/>
  <c r="B136" i="3"/>
  <c r="C136" i="3"/>
  <c r="E136" i="3"/>
  <c r="D136" i="3" s="1"/>
  <c r="B107" i="3"/>
  <c r="C107" i="3"/>
  <c r="E107" i="3"/>
  <c r="D107" i="3" s="1"/>
  <c r="B108" i="3"/>
  <c r="C108" i="3"/>
  <c r="D108" i="3"/>
  <c r="E108" i="3"/>
  <c r="B109" i="3"/>
  <c r="C109" i="3"/>
  <c r="D109" i="3"/>
  <c r="E109" i="3"/>
  <c r="B110" i="3"/>
  <c r="C110" i="3"/>
  <c r="E110" i="3"/>
  <c r="D110" i="3" s="1"/>
  <c r="B111" i="3"/>
  <c r="C111" i="3"/>
  <c r="D111" i="3"/>
  <c r="E111" i="3"/>
  <c r="B112" i="3"/>
  <c r="C112" i="3"/>
  <c r="D112" i="3"/>
  <c r="E112" i="3"/>
  <c r="B113" i="3"/>
  <c r="C113" i="3"/>
  <c r="E113" i="3"/>
  <c r="D113" i="3" s="1"/>
  <c r="B114" i="3"/>
  <c r="C114" i="3"/>
  <c r="D114" i="3"/>
  <c r="E114" i="3"/>
  <c r="B115" i="3"/>
  <c r="C115" i="3"/>
  <c r="D115" i="3"/>
  <c r="E115" i="3"/>
  <c r="B116" i="3"/>
  <c r="C116" i="3"/>
  <c r="E116" i="3"/>
  <c r="D116" i="3" s="1"/>
  <c r="B117" i="3"/>
  <c r="C117" i="3"/>
  <c r="D117" i="3"/>
  <c r="E117" i="3"/>
  <c r="B118" i="3"/>
  <c r="C118" i="3"/>
  <c r="D118" i="3"/>
  <c r="E118" i="3"/>
  <c r="B119" i="3"/>
  <c r="C119" i="3"/>
  <c r="E119" i="3"/>
  <c r="D119" i="3" s="1"/>
  <c r="B120" i="3"/>
  <c r="C120" i="3"/>
  <c r="D120" i="3"/>
  <c r="E120" i="3"/>
  <c r="B121" i="3"/>
  <c r="C121" i="3"/>
  <c r="D121" i="3"/>
  <c r="E121" i="3"/>
  <c r="B122" i="3"/>
  <c r="C122" i="3"/>
  <c r="E122" i="3"/>
  <c r="D122" i="3" s="1"/>
  <c r="B123" i="3"/>
  <c r="C123" i="3"/>
  <c r="D123" i="3"/>
  <c r="E123" i="3"/>
  <c r="B124" i="3"/>
  <c r="C124" i="3"/>
  <c r="D124" i="3"/>
  <c r="E124" i="3"/>
  <c r="B125" i="3"/>
  <c r="C125" i="3"/>
  <c r="E125" i="3"/>
  <c r="D125" i="3" s="1"/>
  <c r="B126" i="3"/>
  <c r="C126" i="3"/>
  <c r="D126" i="3"/>
  <c r="E126" i="3"/>
  <c r="B127" i="3"/>
  <c r="C127" i="3"/>
  <c r="D127" i="3"/>
  <c r="E127" i="3"/>
  <c r="B87" i="3"/>
  <c r="C87" i="3"/>
  <c r="E87" i="3"/>
  <c r="D87" i="3" s="1"/>
  <c r="B88" i="3"/>
  <c r="C88" i="3"/>
  <c r="E88" i="3"/>
  <c r="D88" i="3" s="1"/>
  <c r="B89" i="3"/>
  <c r="C89" i="3"/>
  <c r="E89" i="3"/>
  <c r="D89" i="3" s="1"/>
  <c r="B90" i="3"/>
  <c r="C90" i="3"/>
  <c r="E90" i="3"/>
  <c r="D90" i="3" s="1"/>
  <c r="B91" i="3"/>
  <c r="C91" i="3"/>
  <c r="D91" i="3"/>
  <c r="E91" i="3"/>
  <c r="B92" i="3"/>
  <c r="C92" i="3"/>
  <c r="E92" i="3"/>
  <c r="D92" i="3" s="1"/>
  <c r="B93" i="3"/>
  <c r="C93" i="3"/>
  <c r="E93" i="3"/>
  <c r="D93" i="3" s="1"/>
  <c r="B94" i="3"/>
  <c r="C94" i="3"/>
  <c r="D94" i="3"/>
  <c r="E94" i="3"/>
  <c r="B95" i="3"/>
  <c r="C95" i="3"/>
  <c r="E95" i="3"/>
  <c r="D95" i="3" s="1"/>
  <c r="B96" i="3"/>
  <c r="C96" i="3"/>
  <c r="E96" i="3"/>
  <c r="D96" i="3" s="1"/>
  <c r="B97" i="3"/>
  <c r="C97" i="3"/>
  <c r="D97" i="3"/>
  <c r="E97" i="3"/>
  <c r="B98" i="3"/>
  <c r="C98" i="3"/>
  <c r="E98" i="3"/>
  <c r="D98" i="3" s="1"/>
  <c r="B99" i="3"/>
  <c r="C99" i="3"/>
  <c r="E99" i="3"/>
  <c r="D99" i="3" s="1"/>
  <c r="B100" i="3"/>
  <c r="C100" i="3"/>
  <c r="D100" i="3"/>
  <c r="E100" i="3"/>
  <c r="B101" i="3"/>
  <c r="C101" i="3"/>
  <c r="E101" i="3"/>
  <c r="D101" i="3" s="1"/>
  <c r="B102" i="3"/>
  <c r="C102" i="3"/>
  <c r="E102" i="3"/>
  <c r="D102" i="3" s="1"/>
  <c r="B103" i="3"/>
  <c r="C103" i="3"/>
  <c r="D103" i="3"/>
  <c r="E103" i="3"/>
  <c r="B104" i="3"/>
  <c r="C104" i="3"/>
  <c r="E104" i="3"/>
  <c r="D104" i="3" s="1"/>
  <c r="B105" i="3"/>
  <c r="C105" i="3"/>
  <c r="E105" i="3"/>
  <c r="D105" i="3" s="1"/>
  <c r="B106" i="3"/>
  <c r="C106" i="3"/>
  <c r="D106" i="3"/>
  <c r="E106" i="3"/>
  <c r="B43" i="3"/>
  <c r="C43" i="3"/>
  <c r="E43" i="3"/>
  <c r="D43" i="3" s="1"/>
  <c r="B44" i="3"/>
  <c r="C44" i="3"/>
  <c r="D44" i="3"/>
  <c r="E44" i="3"/>
  <c r="B45" i="3"/>
  <c r="C45" i="3"/>
  <c r="E45" i="3"/>
  <c r="D45" i="3" s="1"/>
  <c r="B46" i="3"/>
  <c r="C46" i="3"/>
  <c r="E46" i="3"/>
  <c r="D46" i="3" s="1"/>
  <c r="B47" i="3"/>
  <c r="C47" i="3"/>
  <c r="D47" i="3"/>
  <c r="E47" i="3"/>
  <c r="B48" i="3"/>
  <c r="C48" i="3"/>
  <c r="E48" i="3"/>
  <c r="D48" i="3" s="1"/>
  <c r="B49" i="3"/>
  <c r="C49" i="3"/>
  <c r="E49" i="3"/>
  <c r="D49" i="3" s="1"/>
  <c r="B50" i="3"/>
  <c r="C50" i="3"/>
  <c r="D50" i="3"/>
  <c r="E50" i="3"/>
  <c r="B51" i="3"/>
  <c r="C51" i="3"/>
  <c r="E51" i="3"/>
  <c r="D51" i="3" s="1"/>
  <c r="B52" i="3"/>
  <c r="C52" i="3"/>
  <c r="E52" i="3"/>
  <c r="D52" i="3" s="1"/>
  <c r="B53" i="3"/>
  <c r="C53" i="3"/>
  <c r="D53" i="3"/>
  <c r="E53" i="3"/>
  <c r="B54" i="3"/>
  <c r="C54" i="3"/>
  <c r="E54" i="3"/>
  <c r="D54" i="3" s="1"/>
  <c r="B55" i="3"/>
  <c r="C55" i="3"/>
  <c r="E55" i="3"/>
  <c r="D55" i="3" s="1"/>
  <c r="B56" i="3"/>
  <c r="C56" i="3"/>
  <c r="D56" i="3"/>
  <c r="E56" i="3"/>
  <c r="B57" i="3"/>
  <c r="C57" i="3"/>
  <c r="E57" i="3"/>
  <c r="D57" i="3" s="1"/>
  <c r="B58" i="3"/>
  <c r="C58" i="3"/>
  <c r="E58" i="3"/>
  <c r="D58" i="3" s="1"/>
  <c r="B59" i="3"/>
  <c r="C59" i="3"/>
  <c r="D59" i="3"/>
  <c r="E59" i="3"/>
  <c r="B60" i="3"/>
  <c r="C60" i="3"/>
  <c r="E60" i="3"/>
  <c r="D60" i="3" s="1"/>
  <c r="B61" i="3"/>
  <c r="C61" i="3"/>
  <c r="E61" i="3"/>
  <c r="D61" i="3" s="1"/>
  <c r="B62" i="3"/>
  <c r="C62" i="3"/>
  <c r="D62" i="3"/>
  <c r="E62" i="3"/>
  <c r="B63" i="3"/>
  <c r="C63" i="3"/>
  <c r="E63" i="3"/>
  <c r="D63" i="3" s="1"/>
  <c r="B64" i="3"/>
  <c r="C64" i="3"/>
  <c r="E64" i="3"/>
  <c r="D64" i="3" s="1"/>
  <c r="B65" i="3"/>
  <c r="C65" i="3"/>
  <c r="D65" i="3"/>
  <c r="E65" i="3"/>
  <c r="B66" i="3"/>
  <c r="C66" i="3"/>
  <c r="E66" i="3"/>
  <c r="D66" i="3" s="1"/>
  <c r="B67" i="3"/>
  <c r="C67" i="3"/>
  <c r="E67" i="3"/>
  <c r="D67" i="3" s="1"/>
  <c r="B68" i="3"/>
  <c r="C68" i="3"/>
  <c r="D68" i="3"/>
  <c r="E68" i="3"/>
  <c r="B69" i="3"/>
  <c r="C69" i="3"/>
  <c r="E69" i="3"/>
  <c r="D69" i="3" s="1"/>
  <c r="B70" i="3"/>
  <c r="C70" i="3"/>
  <c r="E70" i="3"/>
  <c r="D70" i="3" s="1"/>
  <c r="B71" i="3"/>
  <c r="C71" i="3"/>
  <c r="D71" i="3"/>
  <c r="E71" i="3"/>
  <c r="B72" i="3"/>
  <c r="C72" i="3"/>
  <c r="E72" i="3"/>
  <c r="D72" i="3" s="1"/>
  <c r="B73" i="3"/>
  <c r="C73" i="3"/>
  <c r="E73" i="3"/>
  <c r="D73" i="3" s="1"/>
  <c r="B74" i="3"/>
  <c r="C74" i="3"/>
  <c r="D74" i="3"/>
  <c r="E74" i="3"/>
  <c r="B75" i="3"/>
  <c r="C75" i="3"/>
  <c r="E75" i="3"/>
  <c r="D75" i="3" s="1"/>
  <c r="B76" i="3"/>
  <c r="C76" i="3"/>
  <c r="E76" i="3"/>
  <c r="D76" i="3" s="1"/>
  <c r="B77" i="3"/>
  <c r="C77" i="3"/>
  <c r="D77" i="3"/>
  <c r="E77" i="3"/>
  <c r="B78" i="3"/>
  <c r="C78" i="3"/>
  <c r="E78" i="3"/>
  <c r="D78" i="3" s="1"/>
  <c r="B79" i="3"/>
  <c r="C79" i="3"/>
  <c r="E79" i="3"/>
  <c r="D79" i="3" s="1"/>
  <c r="B80" i="3"/>
  <c r="C80" i="3"/>
  <c r="D80" i="3"/>
  <c r="E80" i="3"/>
  <c r="B81" i="3"/>
  <c r="C81" i="3"/>
  <c r="E81" i="3"/>
  <c r="D81" i="3" s="1"/>
  <c r="B82" i="3"/>
  <c r="C82" i="3"/>
  <c r="E82" i="3"/>
  <c r="D82" i="3" s="1"/>
  <c r="B83" i="3"/>
  <c r="C83" i="3"/>
  <c r="D83" i="3"/>
  <c r="E83" i="3"/>
  <c r="B84" i="3"/>
  <c r="C84" i="3"/>
  <c r="E84" i="3"/>
  <c r="D84" i="3" s="1"/>
  <c r="B85" i="3"/>
  <c r="C85" i="3"/>
  <c r="E85" i="3"/>
  <c r="D85" i="3" s="1"/>
  <c r="B86" i="3"/>
  <c r="C86" i="3"/>
  <c r="D86" i="3"/>
  <c r="E86" i="3"/>
  <c r="B21" i="3"/>
  <c r="C21" i="3"/>
  <c r="D21" i="3"/>
  <c r="E21" i="3"/>
  <c r="B22" i="3"/>
  <c r="C22" i="3"/>
  <c r="D22" i="3"/>
  <c r="E22" i="3"/>
  <c r="B23" i="3"/>
  <c r="C23" i="3"/>
  <c r="E23" i="3"/>
  <c r="D23" i="3" s="1"/>
  <c r="B24" i="3"/>
  <c r="C24" i="3"/>
  <c r="D24" i="3"/>
  <c r="E24" i="3"/>
  <c r="B25" i="3"/>
  <c r="C25" i="3"/>
  <c r="D25" i="3"/>
  <c r="E25" i="3"/>
  <c r="B26" i="3"/>
  <c r="C26" i="3"/>
  <c r="E26" i="3"/>
  <c r="D26" i="3" s="1"/>
  <c r="B27" i="3"/>
  <c r="C27" i="3"/>
  <c r="D27" i="3"/>
  <c r="E27" i="3"/>
  <c r="B28" i="3"/>
  <c r="C28" i="3"/>
  <c r="D28" i="3"/>
  <c r="E28" i="3"/>
  <c r="B29" i="3"/>
  <c r="C29" i="3"/>
  <c r="E29" i="3"/>
  <c r="D29" i="3" s="1"/>
  <c r="B30" i="3"/>
  <c r="C30" i="3"/>
  <c r="D30" i="3"/>
  <c r="E30" i="3"/>
  <c r="B31" i="3"/>
  <c r="C31" i="3"/>
  <c r="D31" i="3"/>
  <c r="E31" i="3"/>
  <c r="B32" i="3"/>
  <c r="C32" i="3"/>
  <c r="E32" i="3"/>
  <c r="D32" i="3" s="1"/>
  <c r="B33" i="3"/>
  <c r="C33" i="3"/>
  <c r="D33" i="3"/>
  <c r="E33" i="3"/>
  <c r="B34" i="3"/>
  <c r="C34" i="3"/>
  <c r="D34" i="3"/>
  <c r="E34" i="3"/>
  <c r="B35" i="3"/>
  <c r="C35" i="3"/>
  <c r="E35" i="3"/>
  <c r="D35" i="3" s="1"/>
  <c r="B36" i="3"/>
  <c r="C36" i="3"/>
  <c r="D36" i="3"/>
  <c r="E36" i="3"/>
  <c r="B37" i="3"/>
  <c r="C37" i="3"/>
  <c r="D37" i="3"/>
  <c r="E37" i="3"/>
  <c r="B38" i="3"/>
  <c r="C38" i="3"/>
  <c r="E38" i="3"/>
  <c r="D38" i="3" s="1"/>
  <c r="B39" i="3"/>
  <c r="C39" i="3"/>
  <c r="D39" i="3"/>
  <c r="E39" i="3"/>
  <c r="B40" i="3"/>
  <c r="C40" i="3"/>
  <c r="D40" i="3"/>
  <c r="E40" i="3"/>
  <c r="B41" i="3"/>
  <c r="C41" i="3"/>
  <c r="E41" i="3"/>
  <c r="D41" i="3" s="1"/>
  <c r="B42" i="3"/>
  <c r="C42" i="3"/>
  <c r="D42" i="3"/>
  <c r="E42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E20" i="3"/>
  <c r="C20" i="3"/>
  <c r="B20" i="3"/>
  <c r="E19" i="3"/>
  <c r="C19" i="3"/>
  <c r="B19" i="3"/>
  <c r="E18" i="3"/>
  <c r="C18" i="3"/>
  <c r="B18" i="3"/>
  <c r="E17" i="3"/>
  <c r="C17" i="3"/>
  <c r="B17" i="3"/>
  <c r="E16" i="3"/>
  <c r="C16" i="3"/>
  <c r="B16" i="3"/>
  <c r="E15" i="3"/>
  <c r="C15" i="3"/>
  <c r="B15" i="3"/>
  <c r="E14" i="3"/>
  <c r="C14" i="3"/>
  <c r="B14" i="3"/>
  <c r="E13" i="3"/>
  <c r="C13" i="3"/>
  <c r="B13" i="3"/>
  <c r="E12" i="3"/>
  <c r="C12" i="3"/>
  <c r="B12" i="3"/>
  <c r="E11" i="3"/>
  <c r="C11" i="3"/>
  <c r="B11" i="3"/>
  <c r="E10" i="3"/>
  <c r="C10" i="3"/>
  <c r="B10" i="3"/>
  <c r="E9" i="3"/>
  <c r="C9" i="3"/>
  <c r="B9" i="3"/>
  <c r="E8" i="3"/>
  <c r="C8" i="3"/>
  <c r="B8" i="3"/>
  <c r="E7" i="3"/>
  <c r="C7" i="3"/>
  <c r="B7" i="3"/>
  <c r="E6" i="3"/>
  <c r="C6" i="3"/>
  <c r="B6" i="3"/>
  <c r="E5" i="3"/>
  <c r="C5" i="3"/>
  <c r="B5" i="3"/>
  <c r="E4" i="3"/>
  <c r="C4" i="3"/>
  <c r="B4" i="3"/>
  <c r="E3" i="3"/>
  <c r="C3" i="3"/>
  <c r="B3" i="3"/>
</calcChain>
</file>

<file path=xl/sharedStrings.xml><?xml version="1.0" encoding="utf-8"?>
<sst xmlns="http://schemas.openxmlformats.org/spreadsheetml/2006/main" count="1085" uniqueCount="493">
  <si>
    <t>Libelé de tâche</t>
  </si>
  <si>
    <t>Thème</t>
  </si>
  <si>
    <t>Catégorie</t>
  </si>
  <si>
    <t>Rapport de préquantification PNLS</t>
  </si>
  <si>
    <t>Rapport de quantification ARV/IO</t>
  </si>
  <si>
    <t>Rapport de quantification LABO</t>
  </si>
  <si>
    <t>Rapport de quantification KIT IST</t>
  </si>
  <si>
    <t>Rapport de préquantification PNLP</t>
  </si>
  <si>
    <t>Rapport de quantification PNLP</t>
  </si>
  <si>
    <t>Rapport de quantification PNLT</t>
  </si>
  <si>
    <t>Rapport de quantification PNN</t>
  </si>
  <si>
    <t>Rapport de préquantification</t>
  </si>
  <si>
    <t>Rapport de quantification</t>
  </si>
  <si>
    <t>Rapport de préquantification PNSME</t>
  </si>
  <si>
    <t>Rapport de quantification PNSME</t>
  </si>
  <si>
    <t>Rapport de réunions de restitution</t>
  </si>
  <si>
    <t>Rapport de réunion</t>
  </si>
  <si>
    <t>* Bordereau de livraison
*Facture</t>
  </si>
  <si>
    <t>compte rendu de GTT</t>
  </si>
  <si>
    <t>Formulaire d'évaluation disponible</t>
  </si>
  <si>
    <t>Point de la collecte</t>
  </si>
  <si>
    <t>Mail de transmissison</t>
  </si>
  <si>
    <t>Rapport mensuel</t>
  </si>
  <si>
    <t xml:space="preserve">Points mensuels structures dans la flotte NPSP
</t>
  </si>
  <si>
    <t>Point des sites clients directs identifiés qui ont un numéro MTN actif dans la flotte NPSP</t>
  </si>
  <si>
    <t xml:space="preserve">Point mensuel de la promptitude et complétude des rapports transmis dans e-SIGL
(Voir rapport trimestriel) </t>
  </si>
  <si>
    <t xml:space="preserve">Point mensuel des personnes coachées au remplissage correct dans e-SIGL
</t>
  </si>
  <si>
    <t xml:space="preserve">Rapport de mission </t>
  </si>
  <si>
    <t>Compte-rendu de réunion</t>
  </si>
  <si>
    <t>Rapport de la réunion</t>
  </si>
  <si>
    <t>Rapport de la mission</t>
  </si>
  <si>
    <t>Compte-rendu de réunion de coordination</t>
  </si>
  <si>
    <t>Rapport de formation</t>
  </si>
  <si>
    <t>Rapport d'atélier</t>
  </si>
  <si>
    <t>Rapport de la visite</t>
  </si>
  <si>
    <t>Points mensuels de districts suivis</t>
  </si>
  <si>
    <t>Points mensuels de suivi</t>
  </si>
  <si>
    <t>Rapport de mission</t>
  </si>
  <si>
    <t>Rapport de réunions de presentation des OAD</t>
  </si>
  <si>
    <t>Compte rendus de réunions</t>
  </si>
  <si>
    <t>Compte-rendus de réunions</t>
  </si>
  <si>
    <t>TDRs validés</t>
  </si>
  <si>
    <t>Rapport de déploiement</t>
  </si>
  <si>
    <t>Bon de livraison</t>
  </si>
  <si>
    <t>Rapport d'hébergement</t>
  </si>
  <si>
    <t>• Guide de déploiement régional (méthodologie, check-lists)
• Rapports de déploiement régions pilotes (BELIER + AGNEBY-TIASSA)
• Rapport consolidé déploiement 9 régions en extension
• Base de données utilisateurs formés
• FAQ dynamique SNGFA (mise à jour mensuelle)
• Rapports mensuels de support technique
• Rapport final de clôture LOT 1</t>
  </si>
  <si>
    <t>• API REST SNGFA déployée (4 endpoints opérationnels)
• Codes sources complets avec commentaires (dépôt Git NPSP-CI)
• Documentation OpenAPI/Swagger complète et interactive
• Manuel d'installation et configuration (équipe SI NPSP-CI)
• Manuel d'utilisation développeurs (exemples curl, Python, JavaScript)
• Suite de tests automatisés (couverture &gt; 80%)
• Rapport de tests (unitaires, intégration, charge, sécurité OWASP)
• Rapport de tests d'intégration avec ONVD-Plus
• Procès-verbal de recette LOT 2 signé</t>
  </si>
  <si>
    <t>1 liste de produits traceur
1 rapport d'atelier</t>
  </si>
  <si>
    <t>Un rapport de performance 2020-2025 
1 rapports d'atelier</t>
  </si>
  <si>
    <t>2 rapports d'ateliers</t>
  </si>
  <si>
    <t>1 rapport de formation</t>
  </si>
  <si>
    <t>1 rapport de collecte</t>
  </si>
  <si>
    <t>1 rapport d'atelier
1 rapport EUV</t>
  </si>
  <si>
    <t>1 rapport de restitution</t>
  </si>
  <si>
    <t>Rapports de retro-information des programmes nationaux de santé</t>
  </si>
  <si>
    <t>Point trimestriel</t>
  </si>
  <si>
    <t>- 4 Rapports trimestriels
- 48 Rapports Hebdomadaires (DG &amp; PEPFAR)
- 1 Rapport annuel</t>
  </si>
  <si>
    <t>Rapport d'analyse des ruptures de stock au niveau péripherique</t>
  </si>
  <si>
    <t>Rapports révisés</t>
  </si>
  <si>
    <t>Protocole de l'évaluation
Rapport de la mission d'évaluation</t>
  </si>
  <si>
    <t>6 licences disponibles :
- 2 licences Tableau Creator
- 1 licence Tableau Explorer
- 3 licences Tableau Viewer</t>
  </si>
  <si>
    <t>- Liste des sites identifiés
- Circuit de collecte
-Plan d'analyse des données
- Canevas de rapport de la mission.</t>
  </si>
  <si>
    <t>Version v1.0 de l'outil de collecte</t>
  </si>
  <si>
    <t>- Rapport de la phase test
- Version finale de l'outil de collecte</t>
  </si>
  <si>
    <t>Rapport de la formation des équipes de collecte</t>
  </si>
  <si>
    <t xml:space="preserve">- Outil de collecte renseigné
- Rapport de collecte par équipe
</t>
  </si>
  <si>
    <t>Rapport final de la mission d'évaluation</t>
  </si>
  <si>
    <t>Rapport de l'atelier de restitution.</t>
  </si>
  <si>
    <t>Rapport de la mission de suivi des recommandations</t>
  </si>
  <si>
    <t>Protocole méthodologique de l'étude
(incluant : questions de recherche, périmètre, sources de données, grilles d'analyse, tableau de bord de saisie, plan de travail détaillé)</t>
  </si>
  <si>
    <t>Rapport de collecte et préparation des données
(incluant : journal de collecte, log de nettoyage, base de données consolidée, note sur les limites des données)</t>
  </si>
  <si>
    <t>Rapport d'analyse amont :
Performance des fournisseurs et conformité au plan d'approvisionnement NPSP
(tableaux de bord, graphiques, classification des défaillances)</t>
  </si>
  <si>
    <t>• Rapport analytique final (FR + ENG summary)
• Note de politique pour les décisions S2 FY27
• Présentation PPT pour la Direction et PEPFAR
• PV de l'atelier de validation
• Plan d'action correctif S2 FY27</t>
  </si>
  <si>
    <t>Outil de budgétisation des TDR validé et prêt pour l'exploitation en routine par les équipes projet</t>
  </si>
  <si>
    <t>*Rapport de l'atelier de formation
*Liste des formateurs certifiés</t>
  </si>
  <si>
    <t>Compte-rendu des rencontres</t>
  </si>
  <si>
    <t>Rapport de réunion de suivi</t>
  </si>
  <si>
    <t>Rapport de séance</t>
  </si>
  <si>
    <t>Rapport de reconciliation</t>
  </si>
  <si>
    <t>PV d'inventaire 
Rapport de cloture comptable</t>
  </si>
  <si>
    <t>Rapport de l'audit interne</t>
  </si>
  <si>
    <t>Rapport de l'audit externe</t>
  </si>
  <si>
    <t>Rapport d'atelier</t>
  </si>
  <si>
    <t>Rapport d'inventaire</t>
  </si>
  <si>
    <t>Factures</t>
  </si>
  <si>
    <t>Facture</t>
  </si>
  <si>
    <t xml:space="preserve">
Factures
Rapport de formation
certificat de formation</t>
  </si>
  <si>
    <t>*Rapport de l'atelier
*AWP intégré FY26 actualisé</t>
  </si>
  <si>
    <t>*AWP intégré budgétisé FY27 élaboré et validé
*AMLEP FY27
*Plan de communication FY2027
*Plan de financement FY2027
*Narratif du plan FY2027
*Narratif du budget FY2027</t>
  </si>
  <si>
    <t>Rapport bilan</t>
  </si>
  <si>
    <t>Extraction mensuel d'ORCHESTRA</t>
  </si>
  <si>
    <t>Facture / Bordereau de livraison</t>
  </si>
  <si>
    <t>*Contrat de prestation
*Facture de la prestation</t>
  </si>
  <si>
    <t>Rapport de maintenance</t>
  </si>
  <si>
    <t>Compte-rendu des rencontres du GTT</t>
  </si>
  <si>
    <t>*Rapport d'atelier
*Manuel d'assistance technique</t>
  </si>
  <si>
    <t>Compte-rendu de la réunion</t>
  </si>
  <si>
    <t>Rapport de réunion semestrielle de la chaine d'approvisionnement</t>
  </si>
  <si>
    <t>Referentiel validé</t>
  </si>
  <si>
    <t>Compte-rendu</t>
  </si>
  <si>
    <t xml:space="preserve">1 liste d'ambassadeur </t>
  </si>
  <si>
    <t>3 sites au T1, 3 sites au T2</t>
  </si>
  <si>
    <t>1 catalogue électronique réalisé</t>
  </si>
  <si>
    <t>1 TDR et 1 CR de rencontre</t>
  </si>
  <si>
    <t>1er quizz en février
2nd quizz en juin</t>
  </si>
  <si>
    <t>1 taux de notoriété</t>
  </si>
  <si>
    <t>Publications scientifiques réalisées</t>
  </si>
  <si>
    <t>Compte rendu des ateliers et au moins 1 histoires à succès rédigée</t>
  </si>
  <si>
    <t>1 série de capsule réalisée</t>
  </si>
  <si>
    <t>Des webinaires réalisés</t>
  </si>
  <si>
    <t>1 document</t>
  </si>
  <si>
    <t>1 chaine crée</t>
  </si>
  <si>
    <t>1 page de suivi</t>
  </si>
  <si>
    <t>Des gadgets disponibles</t>
  </si>
  <si>
    <t>Des kakémonos disponibles</t>
  </si>
  <si>
    <t>Materiels audiovisuels acquis</t>
  </si>
  <si>
    <t>Nombre d'affiches produites</t>
  </si>
  <si>
    <t>La plateforme whatsapp est fonctionnelle</t>
  </si>
  <si>
    <t>Les capsules sont diffusées</t>
  </si>
  <si>
    <t>Le pourcentage d'abonnés évolue</t>
  </si>
  <si>
    <t>Liste des ROs créés</t>
  </si>
  <si>
    <t>Liste des ROs approuvés</t>
  </si>
  <si>
    <t>Rapport mensuel d'activités</t>
  </si>
  <si>
    <t>Fichier suivi commandes</t>
  </si>
  <si>
    <t>Mails de transmission aux PNS</t>
  </si>
  <si>
    <t>Outil de suivi du traitement des commandes</t>
  </si>
  <si>
    <t>Mails de diffusion</t>
  </si>
  <si>
    <t>Rapport de reunion</t>
  </si>
  <si>
    <t>Rapport hebdomadaire d'activité</t>
  </si>
  <si>
    <t>Note technique élaborée</t>
  </si>
  <si>
    <t>Fichier de suivi intégré de la réception</t>
  </si>
  <si>
    <t>Fichier de suggestions de réapprovisionnement</t>
  </si>
  <si>
    <t>Fichier de suivi intégré du plan de réapprovisionnement des produits de programme</t>
  </si>
  <si>
    <t xml:space="preserve">Factures de location </t>
  </si>
  <si>
    <t>Factures d'acquisition</t>
  </si>
  <si>
    <t xml:space="preserve">Liste mensuelle actualisée de tous les produits en allocation </t>
  </si>
  <si>
    <t>Bulletin hebdomadaire</t>
  </si>
  <si>
    <t>Rapport d'activité + Plan d'action</t>
  </si>
  <si>
    <t>Rapport d'activité + Plan d'actions</t>
  </si>
  <si>
    <t>- Contrat de consultance signé (3 mois)
- Plan de travail détaillé validé</t>
  </si>
  <si>
    <t>- Document de spécifications fonctionnelles détaillées
- Architecture technique avec schémas de base de données
- Spécifications des algorithmes de calcul DMM et prévision
- Maquettes des interfaces utilisateur</t>
  </si>
  <si>
    <t>outil développé et tests réalisés</t>
  </si>
  <si>
    <t>• Rapport d'évaluation des besoins en S&amp;E de la Direction de l'Exploitation
• Liste consolidée des indicateurs proposés avec justifications
• Cartographie des sources de données disponibles</t>
  </si>
  <si>
    <t xml:space="preserve">Rapport d'analyse </t>
  </si>
  <si>
    <t>Circuits de distribution actualisés</t>
  </si>
  <si>
    <t>Compte rendu de reunion</t>
  </si>
  <si>
    <t xml:space="preserve">Bulletin </t>
  </si>
  <si>
    <t>Rapport d'orientation</t>
  </si>
  <si>
    <t>Contrat d'embauche</t>
  </si>
  <si>
    <t>outil renforcé disponible</t>
  </si>
  <si>
    <t>Rapports d'atelier</t>
  </si>
  <si>
    <t>Rapport de supervision</t>
  </si>
  <si>
    <t>Rapport mensuel d'activité</t>
  </si>
  <si>
    <t>Rapport d'inventaire
Rapport d'évaluation</t>
  </si>
  <si>
    <t>Liste validée des équipements à acquérir</t>
  </si>
  <si>
    <t>Rapport des formations</t>
  </si>
  <si>
    <t>Manuel de procédure</t>
  </si>
  <si>
    <t>Rapport d'activité</t>
  </si>
  <si>
    <t>Mails de demande de proformas, proformas, Etat de décomposition</t>
  </si>
  <si>
    <t>Formulaires d'approbation</t>
  </si>
  <si>
    <t>Bons de commande</t>
  </si>
  <si>
    <t>Proforma, Factures définitives</t>
  </si>
  <si>
    <t>Copie des autorisations d'importation et d'enlevement</t>
  </si>
  <si>
    <t>Ordres de transit (OT)</t>
  </si>
  <si>
    <t>Fichier Suivi Expéditions</t>
  </si>
  <si>
    <t>Rapport des GTT</t>
  </si>
  <si>
    <t xml:space="preserve">Rapport d’atelier </t>
  </si>
  <si>
    <t>*Grille de supervision
*Rapport de supervision</t>
  </si>
  <si>
    <t>Rapport de l'atelier</t>
  </si>
  <si>
    <t>Rapport de suivi de la mise à échelle</t>
  </si>
  <si>
    <t>Rapport de migration</t>
  </si>
  <si>
    <t>Rapport trimestriel de gestion d'incident et demande
Recu de communication</t>
  </si>
  <si>
    <t>Rapport de recette</t>
  </si>
  <si>
    <t xml:space="preserve">Recu de communication </t>
  </si>
  <si>
    <t>rapport de mission</t>
  </si>
  <si>
    <t>Rapport de mise en œuvre du dispositif de communication régionale mensuel</t>
  </si>
  <si>
    <t>Draft de plaquette</t>
  </si>
  <si>
    <t>1000 livres et 2000 plaquettes du SIGL Integré disponibles</t>
  </si>
  <si>
    <t>Draft de modules du SIGL integré</t>
  </si>
  <si>
    <t>Modules du SIGL integré validés</t>
  </si>
  <si>
    <t>Contrat JSI validé</t>
  </si>
  <si>
    <t>*rapport mensuel de suivi de réalisation des demandes des évolutions fonctionnels</t>
  </si>
  <si>
    <t xml:space="preserve">Rapport de formation
Rapport d'atelier
</t>
  </si>
  <si>
    <t>Compte rendu de réunions</t>
  </si>
  <si>
    <t>Compte rendu de réunion</t>
  </si>
  <si>
    <t>- 1 Rapport d'évalution des besoins en formation
- 1 Cartographie des besoins formalisée et validée</t>
  </si>
  <si>
    <t>Kit de formation  des nouveaux utilisateurs</t>
  </si>
  <si>
    <t>- Guide d'utilisation mSupply
-    Rapport de distribution</t>
  </si>
  <si>
    <t>- 1 Bot Whatsapp
- 1 Bot Telegram</t>
  </si>
  <si>
    <t xml:space="preserve">- 1 Backlog bugs formalisé et suivi
</t>
  </si>
  <si>
    <t>Rapport de performance technique</t>
  </si>
  <si>
    <t xml:space="preserve"> 1 Rapport Baseline produit et validé</t>
  </si>
  <si>
    <t>Tableau de bord interne</t>
  </si>
  <si>
    <t xml:space="preserve">2 rapports d'audit produits </t>
  </si>
  <si>
    <t>PV de réunion</t>
  </si>
  <si>
    <t xml:space="preserve">Document de politique validé par la DAP </t>
  </si>
  <si>
    <t>Rapport de formation des points focaux</t>
  </si>
  <si>
    <t>Rapport GTT</t>
  </si>
  <si>
    <t>1.1-1.1 : Apporter une assistance technique et financière pour l'organisation d'un atelier de préquantification des ARV, IO et des produits de laboratoire.</t>
  </si>
  <si>
    <t>1.1-1.2 : Apporter une assistance technique et financière pour l'organisation d'un atelier de quantification des ARV, IO.</t>
  </si>
  <si>
    <t>1.1-1.3 : Apporter une assistance technique et financière pour l'organisation d'un atelier de quantification des produits de laboratoire liés au VIH.</t>
  </si>
  <si>
    <t>1.1-1.4 : Apporter une assistance technique à l' atelier de quantification des produits de lutte contre les IST.</t>
  </si>
  <si>
    <t>1.1-2.1 : Apporter une assistance technique et financière pour l'organisation d'un atelier de préquantification des antipaludiques et autres intrants de lutte contre le paludisme.</t>
  </si>
  <si>
    <t>1.1-2.2 : Apporter une assistance technique et financière pour l'organisation d'un atelier de quantification des antipaludiques et autres intrants de lutte contre le paludisme.</t>
  </si>
  <si>
    <t>1.1-3.1 : Apporter une assistance technique pour l'organisation d'un atelier de quantification des médicaments et intrants de lutte contre la tuberculose.</t>
  </si>
  <si>
    <t>1.1-4.1 : Apporter une assistance technique pour l'organisation d'un atélier de quantification des médicaments de la nutrition.</t>
  </si>
  <si>
    <t>1.1-5.1 : Apporter une assistance technique pour l'organisation d'un atelier de préquantification des medicaments essentiels.</t>
  </si>
  <si>
    <t>1.1-5.2 : Apporter une assistance technique pour l'organisation d'un atelier de quantification des medicaments essentiels.</t>
  </si>
  <si>
    <t>1.1-6.1 : Apporter une assistance technique pour l'organisation d'un atelier de préquantification des médicaments pour la prise en charge de la santé de la Mère et de l'enfant.</t>
  </si>
  <si>
    <t>1.1-6.2 : Apporter une assistance technique pour l'organisation d'un atelier de quantification des médicaments pour la prise en charge de la santé de la Mère et de l'enfant.</t>
  </si>
  <si>
    <t>1.1-7.1 : Apporter un appui technique et financier aux programmes pour l'organisation de reunions de restitution des résultats de la quantification et le suivi de la résolution des gaps</t>
  </si>
  <si>
    <t>1.1-9.1 : Organiser des reunions de présentation des hypothèses de quantification à travers les plateformes existantes (CREMCAPS, e-learning)</t>
  </si>
  <si>
    <t>1.1-10.1 : Equiper Les Districts Sanitaires en matériel informatique pour une opérationnalisation de leurs activités</t>
  </si>
  <si>
    <t>1.1-11.1 : Mettre en place un GTT chargé de l'évaluation du niveau d'appropriation de la quantification par les PNS</t>
  </si>
  <si>
    <t>1.1-11.2 : Élaborer un formulaire d'évaluation</t>
  </si>
  <si>
    <t>1.1-11.3 : Collecter les réponses des parties prenantes</t>
  </si>
  <si>
    <t>1.1-11.4 : Analyser et diffuser le rapport d'évaluation</t>
  </si>
  <si>
    <t>1.2-1.1 : Faire le suivi la complétude et la promptitude des rapports des sites non clients directs (mSupply, …)</t>
  </si>
  <si>
    <t>1.2-1.2 : Faire le suivi de la disponibilité du chronogramme de distribution au niveau des districts sanitaires</t>
  </si>
  <si>
    <t>1.2-1.3 : Faire le suivi de l'éxecution effective de la distribution selon le chronogramme de livraison</t>
  </si>
  <si>
    <t>1.2-2.1 : Doter l'équipe projet e-STOCK en équipement informatique.</t>
  </si>
  <si>
    <t>1.2-3.1 : Equiper la NPSP en équipement informatique</t>
  </si>
  <si>
    <t>1.3-1.1 : Faire la mise à jour mensuelle des contacts téléphoniques des prestataires à insérer dans la flotte</t>
  </si>
  <si>
    <t>1.3-1.2 : Fournir des forfaits de communication et de connexion internet aux structures du niveau central jusqu'au niveau communautaire.</t>
  </si>
  <si>
    <t>1.3-1.3 : Suivre la complétude et la promptitude des RCM des sites clients directs de la NPSP à partir du eSIGL</t>
  </si>
  <si>
    <t>1.3-1.4 : Contacter les gestionnaires pour le suivi des activités logistiques et les coacher au besoin</t>
  </si>
  <si>
    <t>1.3-2.2 : Organiser des visites d'assistance technique aux acteurs de la chaîne d'approvisionnement décentralisée</t>
  </si>
  <si>
    <t>1.3-2.3 : Apporter un appui technique et financier aux réunions régionales d'analyse et de mise à niveau des stocks</t>
  </si>
  <si>
    <t>1.3-2.4 : Organiser des rencontres d'orientation logistique au niveau départemental</t>
  </si>
  <si>
    <t>1.3-2.5 : Apporter un appui au renforcement du management et du leadership des acteurs de la chaine d'approvisionnement decentralisée</t>
  </si>
  <si>
    <t>1.3-2.6 : Organiser 4 réunions de coordination en ligne sur les activités de la chaine d'approvisionnement décentralisée</t>
  </si>
  <si>
    <t>1.3-2.7 : Organiser une orientation des pharmaciens de régions sur le management de la CA</t>
  </si>
  <si>
    <t>1.3-2.8 : Organiser 4 réunions trimestrielles avec les acteurs impliqués dans la logistique décentralisée</t>
  </si>
  <si>
    <t>1.3-2.9 : Organiser deux atéliers de coordination avec les Pharmaciens de régions</t>
  </si>
  <si>
    <t>1.4-1.1 : Organiser une réunion de coordination avec le PNLP, la DAP, la DSCPS, et les autres PTF</t>
  </si>
  <si>
    <t>1.4-1.2 : Organiser une réunion bilan avec les acteurs de la partie nationale sur la mise en oeuvre des activités communautaires</t>
  </si>
  <si>
    <t>1.4-1.3 : Apporter un appui technique et financier au district sanitaire pour le suivi de la distribution communautaire</t>
  </si>
  <si>
    <t>1.4-1.4 : Faire le suivi de la disponibilité des produits de santé communautaires</t>
  </si>
  <si>
    <t>1.5-1.1 : Accompagner les acteurs à l'utilisation effective du tableau de bord mSupply</t>
  </si>
  <si>
    <t>1.7-1.1 : Faire le suivi de la complétude et la promptitude des données de la Fiche de Stock</t>
  </si>
  <si>
    <t>1.7-1.2 : Organiser des visites d'assistance technique aux acteurs impliqués dans la collecte des données</t>
  </si>
  <si>
    <t>1.7-2.1 : Organiser des réunions hebdomadaires avec les membres de l'agence programme</t>
  </si>
  <si>
    <t>1.7-2.2 : Organiser des réunions mensuelle de suivi de la complétude et d'analyse de la qualité des données</t>
  </si>
  <si>
    <t>1.7-2.3 : Organiser des réunions mensuelles d'analyse de la qualité des données SIGL</t>
  </si>
  <si>
    <t>1.7-3.1 : Finalisation technique et préparation du déploiement</t>
  </si>
  <si>
    <t>1.7-3.2 : Formation des formateurs et gestionnaires centraux</t>
  </si>
  <si>
    <t>1.7-3.3 : Déploiement dans 2 régions pilotes</t>
  </si>
  <si>
    <t>1.7-3.4 : Déploiement dans 31 régions</t>
  </si>
  <si>
    <t>1.7-3.5 : Renforcer les capacités du datacenter de la nouvelle PSP pour l'hébergement</t>
  </si>
  <si>
    <t>1.7-3.6 : Heberger les Outils d'Aides à la Décision (OAD) sur le data center de la nouvelle PSP</t>
  </si>
  <si>
    <t>1.7-3.7 : Organiser des supervisions formatives semestrielles des gestionnaires</t>
  </si>
  <si>
    <t>1.7-3.8 : Assurer l'assistance technique pour le déploiement et la maintenance de l'application ONVD</t>
  </si>
  <si>
    <t>1.7-3.9 : Assurer la convergence des données ONVD-Plus / SNGFA par le développement d'une API</t>
  </si>
  <si>
    <t>1.7-3.10 : Garantir l'intégrité du déploiement de l'application ONVD-Plus Windows</t>
  </si>
  <si>
    <t>1.7-3.11 : Finalisation technique, signature numérique et génération de la version finale</t>
  </si>
  <si>
    <t>1.7-4.1 : Organiser un atelier de revision de la liste des produits traceurs Edistock</t>
  </si>
  <si>
    <t>1.7-4.2 : Organiser un atelier de rédaction du Rapport de performance de la CA du FY26</t>
  </si>
  <si>
    <t>1.7-5.1 : Organiser deux ateliers de traitement et d'analyse des données nécessaires à la production du rapport annuel</t>
  </si>
  <si>
    <t>1.7-6.1 : Organiser un atelier de formation pour les enquêteurs EUV</t>
  </si>
  <si>
    <t>1.7-6.2 : Organiser la collecte des données de l'enquête EUV</t>
  </si>
  <si>
    <t>1.7-6.3 : Organiser un atelier de rédaction des rapports des résultats de l'enquête EUV</t>
  </si>
  <si>
    <t>1.7-6.4 : Organiser un atelier de restitution des résultats de l'enquête EUV.</t>
  </si>
  <si>
    <t>1.7-6.5 : Apporter un appui à la mise en oeuvre des recommandations de l'EUV.</t>
  </si>
  <si>
    <t>1.7-7.1 : Organiser trois (03) ateliers de retro information.</t>
  </si>
  <si>
    <t>1.7-8.1 : Fournir une assistance technique par appels téléphoniques aux gestionnaires</t>
  </si>
  <si>
    <t>1.7-9.1 : Rédiger les rapports programmatiques - Rapports trimestriels d'activités</t>
  </si>
  <si>
    <t>1.7-9.2 : Produire trimestriellement un rapport d'analyse des causes profondes des ruptures de stock</t>
  </si>
  <si>
    <t>1.7-9.3 : Réviser le template des rapports programmatiques</t>
  </si>
  <si>
    <t>1.7-11.1 : Réaliser une mission d'évaluation de la qualité des données de Esigl</t>
  </si>
  <si>
    <t>1.7-11.2 : Acquérir les licences de Tableau Edition Enterprise</t>
  </si>
  <si>
    <t>1.7-12.1 : Organiser en collaboration avec le programme un GTT de préparation de la mission</t>
  </si>
  <si>
    <t>1.7-12.2 : Développement de l'outil de collecte des données</t>
  </si>
  <si>
    <t>1.7-12.3 : Organiser la phase test de l'outil, la restitution et la finalisation</t>
  </si>
  <si>
    <t>1.7-12.4 : Organiser la formation des équipes de collecte de données.</t>
  </si>
  <si>
    <t>1.7-12.5 : Organiser la mission de collecte des données dans les structures identifiées</t>
  </si>
  <si>
    <t>1.7-12.6 : Organiser le traitement et la redaction du rapport de la mission.</t>
  </si>
  <si>
    <t>1.7-12.7 : Organiser un atelier de restitution des resultats de la mission aux parties prenantes</t>
  </si>
  <si>
    <t>1.7-12.8 : Organiser une mission de renforcement de capacité dans les établissements</t>
  </si>
  <si>
    <t>1.7-13.1 : Élaborer le protocole méthodologique et les outils de collecte et d'analyse</t>
  </si>
  <si>
    <t>1.7-13.2 : Collecter, consolider et préparer les données multi-sources nécessaires</t>
  </si>
  <si>
    <t>1.7-13.3 : Analyse et synthèse des données collectées et redaction du rapport final</t>
  </si>
  <si>
    <t>1.7-13.4 : Organiser l'atelier de restitution des résultats auprès des parties prenantes</t>
  </si>
  <si>
    <t>1.7-14.1 : Développer et déployer l'outil d'automatisation de l'élaboration budgétaire</t>
  </si>
  <si>
    <t>1.8-2.1 : Organiser des sessions de formation des acteurs de la chaîne d'approvisionnement</t>
  </si>
  <si>
    <t>1.8-3.1 : Appuyer les gestionnaires des structures sanitaires publiques dans le cadre de leurs activités</t>
  </si>
  <si>
    <t>1.9-1.1 : Participer aux sollicitations nationales et internationales</t>
  </si>
  <si>
    <t>1.10-1.1 : Participer aux réunions de suivi mensuel de stock des PNS</t>
  </si>
  <si>
    <t>1.10-2.1 : Organiser des séances d'actualisation et de validation des plans d'approvisionnement</t>
  </si>
  <si>
    <t>1.10-3.1 : Organiser 03 sessions de renforcement de capacités des acteurs des services</t>
  </si>
  <si>
    <t>1.11-1.1 : Organiser une mission de collecte et de réconciliation des pièces sur le terrain</t>
  </si>
  <si>
    <t>1.11-1.2 : Réaliser des clôtures comptables mensuels</t>
  </si>
  <si>
    <t>1.11-1.3 : Réaliser un audit interne</t>
  </si>
  <si>
    <t>1.11-1.4 : Réaliser un audit externe du projet par un cabinet comptable.</t>
  </si>
  <si>
    <t>1.11-1.5 : Atelier de formation sur les méthodes de réconciliations des pièces comptables</t>
  </si>
  <si>
    <t>1.11-1.6 : Organiser une mission d'inventaire du materiel financé par le bailleur</t>
  </si>
  <si>
    <t>1.11-1.7 : Assurer les frais de soutien à la gestion du projet (Cout indirects)</t>
  </si>
  <si>
    <t>1.11-1.8 : Staff Fringe Benefits.</t>
  </si>
  <si>
    <t>1.11-1.9 : Rémunération des agents LHSPLA.</t>
  </si>
  <si>
    <t>1.11-1.10 : Assurer la Formation continue du personnel</t>
  </si>
  <si>
    <t>1.11-1.11 : Equiper le personnel du projet en matériel informatique</t>
  </si>
  <si>
    <t>1.11-1.12 : Acquisition de stickers pour le matériel acquis par le projet</t>
  </si>
  <si>
    <t>1.11-1.13 : Frais accessoires du personnel</t>
  </si>
  <si>
    <t>1.11-2.1 : Réaliser un atelier bilan à mi-parcours.</t>
  </si>
  <si>
    <t>1.11-2.2 : Réaliser un atelier d'élaboration de l'AWP FY27.</t>
  </si>
  <si>
    <t>1.11-2.3 : Réaliser l'atelier de capitalisation et de bilan annuel d'activités</t>
  </si>
  <si>
    <t>1.11-3.1 : Compiler mensuellement les rapports de progression dans le logiciel ORCHESTRA</t>
  </si>
  <si>
    <t>1.11-3.2 : Organiser des réunions mensuelles du bilan de la performance du projet</t>
  </si>
  <si>
    <t>1.11-3.3 : Acquérir une licence informatique pour la professionnalisation des comptes rendus</t>
  </si>
  <si>
    <t>1.11-3.4 : Contractualiser pour la traduction des documents en langue anglaise.</t>
  </si>
  <si>
    <t>1.11-4.1 : Faire la maintenance annuelle ORCHESTRA</t>
  </si>
  <si>
    <t>1.11-4.2 : Tenir des GTT d'élaboration du manuel d'assistance technique</t>
  </si>
  <si>
    <t>1.11-4.3 : Organiser un atelier de validation du manuel d'assistance technique</t>
  </si>
  <si>
    <t>1.11-4.4 : Reprographier des exemplaires du manuel d'assistance technique</t>
  </si>
  <si>
    <t>1.11-4.5 : Organiser une réunion de présentation du manuel d'assistance technique</t>
  </si>
  <si>
    <t>1.11-4.6 : Organiser une réunion avec la Direction Générale de la Santé</t>
  </si>
  <si>
    <t>1.11-4.7 : Organiser un atelier de validation du Plan National Stratégique de la CA</t>
  </si>
  <si>
    <t>1.11-4.8 : Organiser des sessions de redevabilité du projet avec toutes les parties prenantes</t>
  </si>
  <si>
    <t>1.11-5.1 : Créer un club ambassadeur pour promouvoir le projet LHSPLA</t>
  </si>
  <si>
    <t>1.11-5.2 : Organiser la récompense des meilleures gestionnaires sur 3 sites</t>
  </si>
  <si>
    <t>1.11-5.3 : Développer un catalogue électronique des produits de laboratoire</t>
  </si>
  <si>
    <t>1.11-5.4 : Organiser une rencontre opérationnelle pour améliorer la collaboration LHSPLA</t>
  </si>
  <si>
    <t>1.11-5.5 : Elaborer des quizz en lignes sur le projet LHSPLA</t>
  </si>
  <si>
    <t>1.11-5.6 : Mesurer la notoriété du projet LHSPLA</t>
  </si>
  <si>
    <t>1.11-5.7 : Renforcer la crédibilité technique du projet à travers la production de livrables</t>
  </si>
  <si>
    <t>1.11-6.1 : Organiser 2 ateliers de rédactions des histoires à succès</t>
  </si>
  <si>
    <t>1.11-6.2 : Réaliser une série de capsules - LHSPLA en action</t>
  </si>
  <si>
    <t>1.11-6.3 : Organiser une série de webinaire pour présenter les entités du projet</t>
  </si>
  <si>
    <t>1.11-6.4 : Elaborer la ligne éditoriale pour les canaux digitaux du projet LHSPLA</t>
  </si>
  <si>
    <t>1.11-6.5 : Créer une chaine TikTok et un LinkedIn autour du projet</t>
  </si>
  <si>
    <t>1.11-6.6 : Sponsoriser la page Facebook LHSPLA</t>
  </si>
  <si>
    <t>1.11-6.7 : Produire les gadgets nécessaires pour la visibilité du projet</t>
  </si>
  <si>
    <t>1.11-6.8 : Produire de nouveaux kakémonos</t>
  </si>
  <si>
    <t>1.11-6.9 : Acquérir du matériel audiovisuel pour la creation de contenu video</t>
  </si>
  <si>
    <t>1.11-6.10 : Déployer des outils de communication pratique pour l'amélioration de la visibilité</t>
  </si>
  <si>
    <t>1.11-6.11 : Mettre en place un dispositif de diffusion via WhatsApp des gestionnaires</t>
  </si>
  <si>
    <t>1.11-6.12 : Produire des capsules vidéo pédagogiques courtes</t>
  </si>
  <si>
    <t>1.11-6.13 : Déployer une campagne d'adhésion et de fidélisation des gestionnaires</t>
  </si>
  <si>
    <t>2.1-1.1 : Créer les ROs dans ARTMIS pour les commandes planifiées des programmes</t>
  </si>
  <si>
    <t>2.1-1.2 : Organiser l'approbation des ROs par la NPSP, les PNS et le DoS</t>
  </si>
  <si>
    <t>2.1-1.3 : Suivre l'exécution des commandes au niveau de GHSC-PSM &amp; GHSC-RTK</t>
  </si>
  <si>
    <t>2.1-1.4 : Apporter un appui technique au PNSME pour la détermination des caractéristiques</t>
  </si>
  <si>
    <t>2.1-2.1 : Assister le processus d'achat des produits des programmes sous financement PEPFAR</t>
  </si>
  <si>
    <t>2.1-2.2 : Diffuser mensuellement la situation des commandes gérées par la NPSP</t>
  </si>
  <si>
    <t>2.1-2.3 : Concevoir un outil pour faciliter le suivi mensuel des différentes étapes des commandes</t>
  </si>
  <si>
    <t>2.1-2.4 : Orienter les acteurs de la DAP/CNCAM sur l'utilisation de l'outil de suivi</t>
  </si>
  <si>
    <t>2.1-2.5 : Diffuser mensuellement un point sur les produits à risque et les commandes urgentes</t>
  </si>
  <si>
    <t>Commandes et Approvisionnement</t>
  </si>
  <si>
    <t>Commande en cours (suivi ARTMIS/GHSC)</t>
  </si>
  <si>
    <t>Traitement de commandes fournisseurs</t>
  </si>
  <si>
    <t>Réception de produits au niveau central</t>
  </si>
  <si>
    <t>Dédouanement et enlèvement</t>
  </si>
  <si>
    <t>Achat local de produits de santé</t>
  </si>
  <si>
    <t>2.2-1.4 : Mettre en place un fichier de suivi intégré de la reception des produits de programme</t>
  </si>
  <si>
    <t>2.2-2.1 : Apporter un appui pour le renforcement du mécanisme de réapprovisionnement</t>
  </si>
  <si>
    <t>2.2-2.2 : Faire le suivi hebdomadaire de l'exécution du plan de réapprovisionnement</t>
  </si>
  <si>
    <t>2.2-2.3 : Mettre en place une instruction de travail afin de formaliser la procédure de réapprovisionnement</t>
  </si>
  <si>
    <t>2.2-2.4 : Mettre en place un fichier de suivi intégré du plan de réapprovisionnement</t>
  </si>
  <si>
    <t>2.2-2.5 : Apporter un appui financier pour le répprovisionnement complet inter-agences</t>
  </si>
  <si>
    <t>2.2-3.1 : Organiser 3 inventaires des produits traceurs des programmes suivis</t>
  </si>
  <si>
    <t>2.2-3.2 : Faire le suivi de la prise en compte des écarts relevés lors de chaque inventaire</t>
  </si>
  <si>
    <t>2.2-4.1 : Acquérir 02 surgelateurs pour l'agence programme</t>
  </si>
  <si>
    <t>2.2-5.1 : Frais de stockage et de distribution.</t>
  </si>
  <si>
    <t>2.2-5.2 : Transmettre à la CAACPS la liste actualisée de tous les produits en anomalie</t>
  </si>
  <si>
    <t>2.2-5.3 : S'assurer de la transmission mensuelle de la liste des produits en surstock</t>
  </si>
  <si>
    <t>2.2-5.4 : Assurer la transmission chaque semaine du point du traitement des alertes de surstock</t>
  </si>
  <si>
    <t>2.2-5.5 : Apporter un appui technique et financier pour la tenue de réunions trimestrielles de gestion des stocks</t>
  </si>
  <si>
    <t>2.2-5.6 : Élaborer un plan d'allocation pour une remise à niveau des stocks nationaux</t>
  </si>
  <si>
    <t>2.2-5.7 : Validation du plan d'allocation pour une remise à niveau des stocks nationaux</t>
  </si>
  <si>
    <t>2.2-5.8 : Apporter un appui technique et financier pour la mise en oeuvre du plan d'allocation</t>
  </si>
  <si>
    <t>2.2-6.1 : Recruter et mobiliser un consultant spécialisé en développement d'applications</t>
  </si>
  <si>
    <t>2.2-6.2 : Analyser les besoins fonctionnels et concevoir l'architecture de l'outil</t>
  </si>
  <si>
    <t>2.2-6.3 : Développer l'intégralité de l'outil et réaliser les tests complets</t>
  </si>
  <si>
    <t>2.2-6.4 : Déployer l'outil sur l'infrastructure NPSP et former les utilisateurs</t>
  </si>
  <si>
    <t>2.2-6.5 : Documenter la solution et transférer les compétences techniques</t>
  </si>
  <si>
    <t>2.2-7.1 : Évaluer les besoins et faire le diagnostic du système actuel</t>
  </si>
  <si>
    <t>2.2-7.2 : Développer le cadre de performance et sélectionner les indicateurs clés</t>
  </si>
  <si>
    <t>2.2-7.3 : Concevoir et développer des outils de collecte et d'analyse</t>
  </si>
  <si>
    <t>2.2-7.4 : Renforcer les capacités des acteurs intervenant dans le système de Suivi</t>
  </si>
  <si>
    <t>2.2-7.5 : Mettre en œuvre la phase pilote de l'implémentation du système</t>
  </si>
  <si>
    <t>2.2-7.6 : Assurer le Suivi-accompagnement et pérennisation du système</t>
  </si>
  <si>
    <t>2.6-1.1 : Organiser 01 session de coaching des agents des entités opérationnelles</t>
  </si>
  <si>
    <t>2.6-1.2 : Mise en place d'un GTT pour la collecte et l'analyse des données sur la satisfaction des commandes</t>
  </si>
  <si>
    <t>2.6-1.3 : Apporter un appui technique et financier pour l'organisation d'un atelier</t>
  </si>
  <si>
    <t>2.6-2.1 : Organiser des reunions quinzomadaires de suivi des performances de l'agence programme</t>
  </si>
  <si>
    <t>2.6-2.2 : Organiser des reunions mensuelles du Comité de Suivi-Evaluation de la CAACPS</t>
  </si>
  <si>
    <t>2.6-2.3 : Diffuser de façon bi-mensuelle les données de distribution</t>
  </si>
  <si>
    <t>2.6-2.4 : Renforcer les capacités de la CAACPS pour la prise en main de la gestion logistique</t>
  </si>
  <si>
    <t>2.6-2.5 : Recruter un agent CAACPS</t>
  </si>
  <si>
    <t>2.6-3.1 : Faire le suivi auprès des entités de la NPSP concernées pour le traitement des alertes</t>
  </si>
  <si>
    <t>2.6-3.2 : Organiser un GTT sur la question des échecs de conversion de ESIGL à SAP</t>
  </si>
  <si>
    <t>2.6-3.3 : Renforcer l'outil de satisfaction des commandes en incluant les notifications</t>
  </si>
  <si>
    <t>2.6-4.1 : Organiser une réunion de détermination des besoins additionnels de la distribution</t>
  </si>
  <si>
    <t>2.6-5.1 : Organiser une séance d'orientation pour les responsables de pharmacie</t>
  </si>
  <si>
    <t>2.6-5.2 : Réaliser trois missions de supervision pour les laboratoires de charge virale</t>
  </si>
  <si>
    <t>2.6-5.3 : Diffuser chaque mois aux parties prenantes une analyse de la gestion des ARV</t>
  </si>
  <si>
    <t>2.6-5.4 : Organiser une réunion annuelle regroupant LHSPLA, PNLS, CDC/RETROCI, PMO</t>
  </si>
  <si>
    <t>2.6-5.5 : Apporter un appui technique au PNLS pour l'organisation de réunions périodiques</t>
  </si>
  <si>
    <t>2.6-5.6 : Apporter un appui technique pour l'inventaire des équipements de chambre froide</t>
  </si>
  <si>
    <t>2.6-5.7 : Acquérir des gels eutectiques, des moniteurs de températures ou de data loggers</t>
  </si>
  <si>
    <t>2.6-5.8 : Organiser deux sessions d'orientation de 05 journées des Acteurs de la gestion logistique</t>
  </si>
  <si>
    <t>2.6-5.9 : Organiser quatre sessions d'orientation des Acteurs de la gestion logistique</t>
  </si>
  <si>
    <t>2.6-6.1 : Apporter un appui technique et financier pour l'organisation d'un atelier de formation</t>
  </si>
  <si>
    <t>2.6-7.1 : Apporter un appui pour l'organisation d'un atelier de révision de la convention</t>
  </si>
  <si>
    <t>2.6-8.1 : Organiser un atelier de validation technique des procédures de distribution</t>
  </si>
  <si>
    <t>2.6-9.1 : Apporter un appui technique pour le développement d'une application Web</t>
  </si>
  <si>
    <t>3.1-1.1 : Organiser le sourcing des marchés à attribuer.</t>
  </si>
  <si>
    <t>3.1-1.2 : Organiser l'approbation des formulaires par la Directrice Projet et PEPFAR</t>
  </si>
  <si>
    <t>3.1-1.3 : Suivre la transmission et l'exécution des commandes et réactifs et consommables</t>
  </si>
  <si>
    <t>3.1-1.4 : Suivre la production des kits IST</t>
  </si>
  <si>
    <t>3.2-1.1 : Etablir et obtenir les autorisations d'importation et d'enlevement auprès des autorités</t>
  </si>
  <si>
    <t>3.2-1.2 : Mettre à disposition des transitaires la documentation requise pour organiser l'acheminement</t>
  </si>
  <si>
    <t>3.2-2.1 : Assurer l'enlèvement des colis dans les dix (10) jours suivant l'arrivée des produits</t>
  </si>
  <si>
    <t>4.1-1.1 : Organiser un (01) GTT d'élaboration de la méthodologie d'analyse et d'implémentation</t>
  </si>
  <si>
    <t>4.1-1.2 : Réaliser un atelier de transfert de compétences de l'architecture de l'application</t>
  </si>
  <si>
    <t>4.1-1.3 : Organiser des sessions de formations des formateurs nationaux (points focaux mSupply)</t>
  </si>
  <si>
    <t>4.1-1.4 : Réaliser deux (02) supervisions formatives par le GTT mSupply dans les hôpitaux</t>
  </si>
  <si>
    <t>4.1-1.5 : Réaliser un (1) atelier de tests unitaires d'interopérabilité (UAT).</t>
  </si>
  <si>
    <t>4.1-1.6 : Financer l'abonnement internet de 102 sites mSupply pour la remontée des données</t>
  </si>
  <si>
    <t>4.1-1.7 : Réaliser un atelier de transfert de compétences de niveau 3 sur l'administration système</t>
  </si>
  <si>
    <t>4.1-1.8 : Réaliser un atelier d'épuration de la base de données mSupply</t>
  </si>
  <si>
    <t>4.1-1.9 : Réaliser deux (02) GTT de révision des indicateurs du tableau de bord mSupply</t>
  </si>
  <si>
    <t>4.1-1.10 : Atelier de validation des indicateurs revisés du tableau de bord mSupply</t>
  </si>
  <si>
    <t>4.1-1.11 : Participer à la migration des sites à l'Open mSupply</t>
  </si>
  <si>
    <t>4.1-1.12 : Reliquat Open mSupply</t>
  </si>
  <si>
    <t>4.1-2.1 : Assister les utilisateurs de eSIGL et mSupply et produire un rapport d'assistance</t>
  </si>
  <si>
    <t>4.1-2.2 : Elaborer un module e-learning Open mSupply</t>
  </si>
  <si>
    <t>4.1-2.3 : Apporter un appui en communication à l'équipe projet mSupply</t>
  </si>
  <si>
    <t>4.1-2.4 : Mission de visite de site mSupply</t>
  </si>
  <si>
    <t>4.1-2.5 : Renforcement du dispositif de communication et de veille régionale sur mSupply</t>
  </si>
  <si>
    <t>4.1-2.6 : Session d'orientation des visiteurs médicaux à la prise en main de mSupply</t>
  </si>
  <si>
    <t>4.1-2.7 : Atelier de recette des modules elearning Open mSupply</t>
  </si>
  <si>
    <t>4.1-3.1 : Organiser 1 GTT de 3 jours pour la conception des plaquettes</t>
  </si>
  <si>
    <t>4.1-3.2 : Organiser un atelier d'elaboration des plaquettes</t>
  </si>
  <si>
    <t>4.1-3.3 : Reprographier 3000 documents du SIGL Integré</t>
  </si>
  <si>
    <t>4.1-3.4 : Organiser des séances d'élaboration de modules en learning</t>
  </si>
  <si>
    <t>4.1-3.5 : Organiser 01 atelier pour la production des modules de formation</t>
  </si>
  <si>
    <t>4.2-1.1 : Financer le contrat d'assistance annuel de support de niveau 3.</t>
  </si>
  <si>
    <t>4.2-1.2 : Suivre le traitement des demandes d'évolutions fonctionnelles.</t>
  </si>
  <si>
    <t>4.2-1.3 : Organiser un atelier de transfert de compétence de developpement aux équipes nationales</t>
  </si>
  <si>
    <t>4.2-1.4 : Organiser un atelier de transfert de compétence sur l'administration système eSIGL</t>
  </si>
  <si>
    <t>4.2-2.1 : Révision du paramétrage de eSIGL et mSupply conformement aux recommandations</t>
  </si>
  <si>
    <t>4.2-2.2 : Atelier de réflexion sur mutualisation des outils numériques pour un système intégré</t>
  </si>
  <si>
    <t>4.2-2.3 : Atelier de formation des PNS à mSupply (Open mSupply)</t>
  </si>
  <si>
    <t>4.2-2.4 : Réaliser deux (02) en GTT en vue de la mise à disposition des APIs</t>
  </si>
  <si>
    <t>4.2-2.5 : Organiser un GTT sur le paramétrage de eSIGL et mSupply</t>
  </si>
  <si>
    <t>4.2.3.1 : Evaluation des besoins en formation par niveau</t>
  </si>
  <si>
    <t>4.2.3.2 : Sessions de recyclage des gestionnaires identifiés par l'évaluation de besoins</t>
  </si>
  <si>
    <t>4.2.3.3 : Développer des guides utilisateurs simplifiés</t>
  </si>
  <si>
    <t>4.2.3.4 : Renforcer les fonctionnalités de la plateforme GIMS</t>
  </si>
  <si>
    <t>4.2.4.1 : Cartographier et prioriser les bugs mSupply</t>
  </si>
  <si>
    <t>4.2.4.2 : Appuyer l'élaboration d'un Rapport mensuel de performance technique</t>
  </si>
  <si>
    <t>4.2.4.3 : Maintenance préventive des serveurs et bases de données</t>
  </si>
  <si>
    <t>4.2.5.1 : Réaliser une évaluation diagnostique initial (Data Quality Assessment)</t>
  </si>
  <si>
    <t>4.2.5.2 : Conduire une mission de supervision formative – vague 1</t>
  </si>
  <si>
    <t>4.2.5.3 : Conduire une mission de supervision formative – vague 2</t>
  </si>
  <si>
    <t>4.2.5.4 : Monitorer à distance les sites identifiés par le DQA – tableau de bord mSupply</t>
  </si>
  <si>
    <t>4.2.5.5 : Conduire une évaluation mensuelle de la qualité des données dans mSupply</t>
  </si>
  <si>
    <t>4.2.6.1 : Mise en place d'un Comité de Pilotage de la qualité des données dans mSupply</t>
  </si>
  <si>
    <t>4.2.6.2 : Élaborer d'une politique nationale de saisie des données dans mSupply</t>
  </si>
  <si>
    <t>4.2.6.3 : Créer un Réseau de Points Focaux régionaux – 33 régions sanitaires</t>
  </si>
  <si>
    <t>4.2.6.4 : Intégrer les indicateurs mSupply dans les revues de performance (RAS, etc.)</t>
  </si>
  <si>
    <t>entité</t>
  </si>
  <si>
    <t>OS</t>
  </si>
  <si>
    <t>OO</t>
  </si>
  <si>
    <t>code activité</t>
  </si>
  <si>
    <t>titre activité</t>
  </si>
  <si>
    <t>QAD</t>
  </si>
  <si>
    <t>1.1-1.1</t>
  </si>
  <si>
    <t>1.1-1</t>
  </si>
  <si>
    <t>1.1</t>
  </si>
  <si>
    <t>CAD</t>
  </si>
  <si>
    <t>COM</t>
  </si>
  <si>
    <t>SE</t>
  </si>
  <si>
    <t>PMO</t>
  </si>
  <si>
    <t>SI</t>
  </si>
  <si>
    <t>4.2-3.1 : Evaluation des besoins en formation par niveau</t>
  </si>
  <si>
    <t>4.2-3.2 : Sessions de recyclage des gestionnaires identifiés par l'évaluation de besoins</t>
  </si>
  <si>
    <t>4.2-3.3 : Développer des guides utilisateurs simplifiés</t>
  </si>
  <si>
    <t>4.2-3.4 : Renforcer les fonctionnalités de la plateforme GIMS</t>
  </si>
  <si>
    <t>4.2-4.1 : Cartographier et prioriser les bugs mSupply</t>
  </si>
  <si>
    <t>4.2-4.2 : Appuyer l'élaboration d'un Rapport mensuel de performance technique</t>
  </si>
  <si>
    <t>4.2-4.3 : Maintenance préventive des serveurs et bases de données</t>
  </si>
  <si>
    <t>4.2-5.1 : Réaliser une évaluation diagnostique initial (Data Quality Assessment)</t>
  </si>
  <si>
    <t>4.2-5.2 : Conduire une mission de supervision formative – vague 1</t>
  </si>
  <si>
    <t>4.2-5.3 : Conduire une mission de supervision formative – vague 2</t>
  </si>
  <si>
    <t>4.2-5.4 : Monitorer à distance les sites identifiés par le DQA – tableau de bord mSupply</t>
  </si>
  <si>
    <t>4.2-5.5 : Conduire une évaluation mensuelle de la qualité des données dans mSupply</t>
  </si>
  <si>
    <t>4.2-6.1 : Mise en place d'un Comité de Pilotage de la qualité des données dans mSupply</t>
  </si>
  <si>
    <t>4.2-6.2 : Élaborer d'une politique nationale de saisie des données dans mSupply</t>
  </si>
  <si>
    <t>4.2-6.3 : Créer un Réseau de Points Focaux régionaux – 33 régions sanitaires</t>
  </si>
  <si>
    <t>4.2-6.4 : Intégrer les indicateurs mSupply dans les revues de performance (RAS, etc.)</t>
  </si>
  <si>
    <t>CAC</t>
  </si>
  <si>
    <t>id tâche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</si>
</sst>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8"/>
  <sheetViews>
    <sheetView topLeftCell="A138" workbookViewId="0">
      <selection activeCell="A151" sqref="A151"/>
    </sheetView>
  </sheetViews>
  <sheetFormatPr baseColWidth="10" defaultColWidth="8.7265625" defaultRowHeight="14.5" x14ac:dyDescent="0.35"/>
  <cols>
    <col min="1" max="1" width="255.6328125" bestFit="1" customWidth="1"/>
    <col min="2" max="2" width="6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</row>
    <row r="3" spans="1:3" x14ac:dyDescent="0.35">
      <c r="A3" t="s">
        <v>4</v>
      </c>
    </row>
    <row r="4" spans="1:3" x14ac:dyDescent="0.35">
      <c r="A4" t="s">
        <v>5</v>
      </c>
    </row>
    <row r="5" spans="1:3" x14ac:dyDescent="0.35">
      <c r="A5" t="s">
        <v>6</v>
      </c>
    </row>
    <row r="6" spans="1:3" x14ac:dyDescent="0.35">
      <c r="A6" t="s">
        <v>7</v>
      </c>
    </row>
    <row r="7" spans="1:3" x14ac:dyDescent="0.35">
      <c r="A7" t="s">
        <v>8</v>
      </c>
    </row>
    <row r="8" spans="1:3" x14ac:dyDescent="0.35">
      <c r="A8" t="s">
        <v>9</v>
      </c>
    </row>
    <row r="9" spans="1:3" x14ac:dyDescent="0.35">
      <c r="A9" t="s">
        <v>10</v>
      </c>
    </row>
    <row r="10" spans="1:3" x14ac:dyDescent="0.35">
      <c r="A10" t="s">
        <v>11</v>
      </c>
    </row>
    <row r="11" spans="1:3" x14ac:dyDescent="0.35">
      <c r="A11" t="s">
        <v>12</v>
      </c>
    </row>
    <row r="12" spans="1:3" x14ac:dyDescent="0.35">
      <c r="A12" t="s">
        <v>13</v>
      </c>
    </row>
    <row r="13" spans="1:3" x14ac:dyDescent="0.35">
      <c r="A13" t="s">
        <v>14</v>
      </c>
    </row>
    <row r="14" spans="1:3" x14ac:dyDescent="0.35">
      <c r="A14" t="s">
        <v>15</v>
      </c>
    </row>
    <row r="15" spans="1:3" x14ac:dyDescent="0.35">
      <c r="A15" t="s">
        <v>16</v>
      </c>
    </row>
    <row r="16" spans="1:3" x14ac:dyDescent="0.35">
      <c r="A16" t="s">
        <v>17</v>
      </c>
    </row>
    <row r="17" spans="1:1" x14ac:dyDescent="0.35">
      <c r="A17" t="s">
        <v>18</v>
      </c>
    </row>
    <row r="18" spans="1:1" x14ac:dyDescent="0.35">
      <c r="A18" t="s">
        <v>19</v>
      </c>
    </row>
    <row r="19" spans="1:1" x14ac:dyDescent="0.35">
      <c r="A19" t="s">
        <v>20</v>
      </c>
    </row>
    <row r="20" spans="1:1" x14ac:dyDescent="0.35">
      <c r="A20" t="s">
        <v>21</v>
      </c>
    </row>
    <row r="21" spans="1:1" x14ac:dyDescent="0.35">
      <c r="A21" t="s">
        <v>22</v>
      </c>
    </row>
    <row r="22" spans="1:1" x14ac:dyDescent="0.35">
      <c r="A22" t="s">
        <v>22</v>
      </c>
    </row>
    <row r="23" spans="1:1" x14ac:dyDescent="0.35">
      <c r="A23" t="s">
        <v>22</v>
      </c>
    </row>
    <row r="24" spans="1:1" x14ac:dyDescent="0.35">
      <c r="A24" t="s">
        <v>17</v>
      </c>
    </row>
    <row r="25" spans="1:1" x14ac:dyDescent="0.35">
      <c r="A25" t="s">
        <v>17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31</v>
      </c>
    </row>
    <row r="37" spans="1:1" x14ac:dyDescent="0.35">
      <c r="A37" t="s">
        <v>33</v>
      </c>
    </row>
    <row r="38" spans="1:1" x14ac:dyDescent="0.35">
      <c r="A38" t="s">
        <v>16</v>
      </c>
    </row>
    <row r="39" spans="1:1" x14ac:dyDescent="0.35">
      <c r="A39" t="s">
        <v>16</v>
      </c>
    </row>
    <row r="40" spans="1:1" x14ac:dyDescent="0.35">
      <c r="A40" t="s">
        <v>34</v>
      </c>
    </row>
    <row r="41" spans="1:1" x14ac:dyDescent="0.35">
      <c r="A41" t="s">
        <v>35</v>
      </c>
    </row>
    <row r="42" spans="1:1" x14ac:dyDescent="0.35">
      <c r="A42" t="s">
        <v>36</v>
      </c>
    </row>
    <row r="43" spans="1:1" x14ac:dyDescent="0.35">
      <c r="A43" t="s">
        <v>22</v>
      </c>
    </row>
    <row r="44" spans="1:1" x14ac:dyDescent="0.35">
      <c r="A44" t="s">
        <v>37</v>
      </c>
    </row>
    <row r="45" spans="1:1" x14ac:dyDescent="0.35">
      <c r="A45" t="s">
        <v>38</v>
      </c>
    </row>
    <row r="46" spans="1:1" x14ac:dyDescent="0.35">
      <c r="A46" t="s">
        <v>39</v>
      </c>
    </row>
    <row r="47" spans="1:1" x14ac:dyDescent="0.35">
      <c r="A47" t="s">
        <v>40</v>
      </c>
    </row>
    <row r="48" spans="1:1" x14ac:dyDescent="0.35">
      <c r="A48" t="s">
        <v>41</v>
      </c>
    </row>
    <row r="49" spans="1:1" x14ac:dyDescent="0.35">
      <c r="A49" t="s">
        <v>32</v>
      </c>
    </row>
    <row r="50" spans="1:1" x14ac:dyDescent="0.35">
      <c r="A50" t="s">
        <v>42</v>
      </c>
    </row>
    <row r="51" spans="1:1" x14ac:dyDescent="0.35">
      <c r="A51" t="s">
        <v>42</v>
      </c>
    </row>
    <row r="52" spans="1:1" x14ac:dyDescent="0.35">
      <c r="A52" t="s">
        <v>43</v>
      </c>
    </row>
    <row r="53" spans="1:1" x14ac:dyDescent="0.35">
      <c r="A53" t="s">
        <v>44</v>
      </c>
    </row>
    <row r="54" spans="1:1" x14ac:dyDescent="0.35">
      <c r="A54" t="s">
        <v>37</v>
      </c>
    </row>
    <row r="55" spans="1:1" x14ac:dyDescent="0.35">
      <c r="A55" t="s">
        <v>45</v>
      </c>
    </row>
    <row r="56" spans="1:1" x14ac:dyDescent="0.35">
      <c r="A56" t="s">
        <v>46</v>
      </c>
    </row>
    <row r="57" spans="1:1" x14ac:dyDescent="0.35">
      <c r="A57" t="s">
        <v>43</v>
      </c>
    </row>
    <row r="58" spans="1:1" x14ac:dyDescent="0.35">
      <c r="A58" t="s">
        <v>43</v>
      </c>
    </row>
    <row r="59" spans="1:1" x14ac:dyDescent="0.35">
      <c r="A59" t="s">
        <v>47</v>
      </c>
    </row>
    <row r="60" spans="1:1" x14ac:dyDescent="0.35">
      <c r="A60" t="s">
        <v>48</v>
      </c>
    </row>
    <row r="61" spans="1:1" x14ac:dyDescent="0.35">
      <c r="A61" t="s">
        <v>49</v>
      </c>
    </row>
    <row r="62" spans="1:1" x14ac:dyDescent="0.35">
      <c r="A62" t="s">
        <v>50</v>
      </c>
    </row>
    <row r="63" spans="1:1" x14ac:dyDescent="0.35">
      <c r="A63" t="s">
        <v>51</v>
      </c>
    </row>
    <row r="64" spans="1:1" x14ac:dyDescent="0.35">
      <c r="A64" t="s">
        <v>52</v>
      </c>
    </row>
    <row r="65" spans="1:1" x14ac:dyDescent="0.35">
      <c r="A65" t="s">
        <v>53</v>
      </c>
    </row>
    <row r="66" spans="1:1" x14ac:dyDescent="0.35">
      <c r="A66" t="s">
        <v>51</v>
      </c>
    </row>
    <row r="67" spans="1:1" x14ac:dyDescent="0.35">
      <c r="A67" t="s">
        <v>54</v>
      </c>
    </row>
    <row r="68" spans="1:1" x14ac:dyDescent="0.35">
      <c r="A68" t="s">
        <v>55</v>
      </c>
    </row>
    <row r="69" spans="1:1" x14ac:dyDescent="0.35">
      <c r="A69" t="s">
        <v>56</v>
      </c>
    </row>
    <row r="70" spans="1:1" x14ac:dyDescent="0.35">
      <c r="A70" t="s">
        <v>57</v>
      </c>
    </row>
    <row r="71" spans="1:1" x14ac:dyDescent="0.35">
      <c r="A71" t="s">
        <v>58</v>
      </c>
    </row>
    <row r="72" spans="1:1" x14ac:dyDescent="0.35">
      <c r="A72" t="s">
        <v>59</v>
      </c>
    </row>
    <row r="73" spans="1:1" x14ac:dyDescent="0.35">
      <c r="A73" t="s">
        <v>60</v>
      </c>
    </row>
    <row r="74" spans="1:1" x14ac:dyDescent="0.35">
      <c r="A74" t="s">
        <v>61</v>
      </c>
    </row>
    <row r="75" spans="1:1" x14ac:dyDescent="0.35">
      <c r="A75" t="s">
        <v>62</v>
      </c>
    </row>
    <row r="76" spans="1:1" x14ac:dyDescent="0.35">
      <c r="A76" t="s">
        <v>63</v>
      </c>
    </row>
    <row r="77" spans="1:1" x14ac:dyDescent="0.35">
      <c r="A77" t="s">
        <v>64</v>
      </c>
    </row>
    <row r="78" spans="1:1" x14ac:dyDescent="0.35">
      <c r="A78" t="s">
        <v>65</v>
      </c>
    </row>
    <row r="79" spans="1:1" x14ac:dyDescent="0.35">
      <c r="A79" t="s">
        <v>66</v>
      </c>
    </row>
    <row r="80" spans="1:1" x14ac:dyDescent="0.35">
      <c r="A80" t="s">
        <v>67</v>
      </c>
    </row>
    <row r="81" spans="1:1" x14ac:dyDescent="0.35">
      <c r="A81" t="s">
        <v>68</v>
      </c>
    </row>
    <row r="82" spans="1:1" x14ac:dyDescent="0.35">
      <c r="A82" t="s">
        <v>69</v>
      </c>
    </row>
    <row r="83" spans="1:1" x14ac:dyDescent="0.35">
      <c r="A83" t="s">
        <v>70</v>
      </c>
    </row>
    <row r="84" spans="1:1" x14ac:dyDescent="0.35">
      <c r="A84" t="s">
        <v>71</v>
      </c>
    </row>
    <row r="85" spans="1:1" x14ac:dyDescent="0.35">
      <c r="A85" t="s">
        <v>72</v>
      </c>
    </row>
    <row r="86" spans="1:1" x14ac:dyDescent="0.35">
      <c r="A86" t="s">
        <v>73</v>
      </c>
    </row>
    <row r="87" spans="1:1" x14ac:dyDescent="0.35">
      <c r="A87" t="s">
        <v>32</v>
      </c>
    </row>
    <row r="88" spans="1:1" x14ac:dyDescent="0.35">
      <c r="A88" t="s">
        <v>74</v>
      </c>
    </row>
    <row r="89" spans="1:1" x14ac:dyDescent="0.35">
      <c r="A89" t="s">
        <v>75</v>
      </c>
    </row>
    <row r="90" spans="1:1" x14ac:dyDescent="0.35">
      <c r="A90" t="s">
        <v>76</v>
      </c>
    </row>
    <row r="91" spans="1:1" x14ac:dyDescent="0.35">
      <c r="A91" t="s">
        <v>77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84</v>
      </c>
    </row>
    <row r="102" spans="1:1" x14ac:dyDescent="0.35">
      <c r="A102" t="s">
        <v>86</v>
      </c>
    </row>
    <row r="103" spans="1:1" x14ac:dyDescent="0.35">
      <c r="A103" t="s">
        <v>17</v>
      </c>
    </row>
    <row r="104" spans="1:1" x14ac:dyDescent="0.35">
      <c r="A104" t="s">
        <v>17</v>
      </c>
    </row>
    <row r="105" spans="1:1" x14ac:dyDescent="0.35">
      <c r="A105" t="s">
        <v>17</v>
      </c>
    </row>
    <row r="106" spans="1:1" x14ac:dyDescent="0.35">
      <c r="A106" t="s">
        <v>87</v>
      </c>
    </row>
    <row r="107" spans="1:1" x14ac:dyDescent="0.35">
      <c r="A107" t="s">
        <v>88</v>
      </c>
    </row>
    <row r="108" spans="1:1" x14ac:dyDescent="0.35">
      <c r="A108" t="s">
        <v>89</v>
      </c>
    </row>
    <row r="109" spans="1:1" x14ac:dyDescent="0.35">
      <c r="A109" t="s">
        <v>90</v>
      </c>
    </row>
    <row r="110" spans="1:1" x14ac:dyDescent="0.35">
      <c r="A110" t="s">
        <v>28</v>
      </c>
    </row>
    <row r="111" spans="1:1" x14ac:dyDescent="0.35">
      <c r="A111" t="s">
        <v>91</v>
      </c>
    </row>
    <row r="112" spans="1:1" x14ac:dyDescent="0.35">
      <c r="A112" t="s">
        <v>92</v>
      </c>
    </row>
    <row r="113" spans="1:1" x14ac:dyDescent="0.35">
      <c r="A113" t="s">
        <v>93</v>
      </c>
    </row>
    <row r="114" spans="1:1" x14ac:dyDescent="0.35">
      <c r="A114" t="s">
        <v>94</v>
      </c>
    </row>
    <row r="115" spans="1:1" x14ac:dyDescent="0.35">
      <c r="A115" t="s">
        <v>95</v>
      </c>
    </row>
    <row r="116" spans="1:1" x14ac:dyDescent="0.35">
      <c r="A116" t="s">
        <v>95</v>
      </c>
    </row>
    <row r="117" spans="1:1" x14ac:dyDescent="0.35">
      <c r="A117" t="s">
        <v>96</v>
      </c>
    </row>
    <row r="118" spans="1:1" x14ac:dyDescent="0.35">
      <c r="A118" t="s">
        <v>97</v>
      </c>
    </row>
    <row r="119" spans="1:1" x14ac:dyDescent="0.35">
      <c r="A119" t="s">
        <v>98</v>
      </c>
    </row>
    <row r="120" spans="1:1" x14ac:dyDescent="0.35">
      <c r="A120" t="s">
        <v>99</v>
      </c>
    </row>
    <row r="121" spans="1:1" x14ac:dyDescent="0.35">
      <c r="A121" t="s">
        <v>100</v>
      </c>
    </row>
    <row r="122" spans="1:1" x14ac:dyDescent="0.35">
      <c r="A122" t="s">
        <v>101</v>
      </c>
    </row>
    <row r="123" spans="1:1" x14ac:dyDescent="0.35">
      <c r="A123" t="s">
        <v>102</v>
      </c>
    </row>
    <row r="124" spans="1:1" x14ac:dyDescent="0.35">
      <c r="A124" t="s">
        <v>103</v>
      </c>
    </row>
    <row r="125" spans="1:1" x14ac:dyDescent="0.35">
      <c r="A125" t="s">
        <v>104</v>
      </c>
    </row>
    <row r="126" spans="1:1" x14ac:dyDescent="0.35">
      <c r="A126" t="s">
        <v>105</v>
      </c>
    </row>
    <row r="127" spans="1:1" x14ac:dyDescent="0.35">
      <c r="A127" t="s">
        <v>106</v>
      </c>
    </row>
    <row r="128" spans="1:1" x14ac:dyDescent="0.35">
      <c r="A128" t="s">
        <v>107</v>
      </c>
    </row>
    <row r="129" spans="1:1" x14ac:dyDescent="0.35">
      <c r="A129" t="s">
        <v>108</v>
      </c>
    </row>
    <row r="130" spans="1:1" x14ac:dyDescent="0.35">
      <c r="A130" t="s">
        <v>109</v>
      </c>
    </row>
    <row r="131" spans="1:1" x14ac:dyDescent="0.35">
      <c r="A131" t="s">
        <v>110</v>
      </c>
    </row>
    <row r="132" spans="1:1" x14ac:dyDescent="0.35">
      <c r="A132" t="s">
        <v>111</v>
      </c>
    </row>
    <row r="133" spans="1:1" x14ac:dyDescent="0.35">
      <c r="A133" t="s">
        <v>112</v>
      </c>
    </row>
    <row r="134" spans="1:1" x14ac:dyDescent="0.35">
      <c r="A134" t="s">
        <v>113</v>
      </c>
    </row>
    <row r="135" spans="1:1" x14ac:dyDescent="0.35">
      <c r="A135" t="s">
        <v>114</v>
      </c>
    </row>
    <row r="136" spans="1:1" x14ac:dyDescent="0.35">
      <c r="A136" t="s">
        <v>115</v>
      </c>
    </row>
    <row r="137" spans="1:1" x14ac:dyDescent="0.35">
      <c r="A137" t="s">
        <v>116</v>
      </c>
    </row>
    <row r="138" spans="1:1" x14ac:dyDescent="0.35">
      <c r="A138" t="s">
        <v>117</v>
      </c>
    </row>
    <row r="139" spans="1:1" x14ac:dyDescent="0.35">
      <c r="A139" t="s">
        <v>118</v>
      </c>
    </row>
    <row r="140" spans="1:1" x14ac:dyDescent="0.35">
      <c r="A140" t="s">
        <v>119</v>
      </c>
    </row>
    <row r="141" spans="1:1" x14ac:dyDescent="0.35">
      <c r="A141" t="s">
        <v>120</v>
      </c>
    </row>
    <row r="142" spans="1:1" x14ac:dyDescent="0.35">
      <c r="A142" t="s">
        <v>121</v>
      </c>
    </row>
    <row r="143" spans="1:1" x14ac:dyDescent="0.35">
      <c r="A143" t="s">
        <v>122</v>
      </c>
    </row>
    <row r="144" spans="1:1" x14ac:dyDescent="0.35">
      <c r="A144" t="s">
        <v>122</v>
      </c>
    </row>
    <row r="145" spans="1:1" x14ac:dyDescent="0.35">
      <c r="A145" t="s">
        <v>123</v>
      </c>
    </row>
    <row r="146" spans="1:1" x14ac:dyDescent="0.35">
      <c r="A146" t="s">
        <v>124</v>
      </c>
    </row>
    <row r="147" spans="1:1" x14ac:dyDescent="0.35">
      <c r="A147" t="s">
        <v>125</v>
      </c>
    </row>
    <row r="148" spans="1:1" x14ac:dyDescent="0.35">
      <c r="A148" t="s">
        <v>125</v>
      </c>
    </row>
    <row r="149" spans="1:1" x14ac:dyDescent="0.35">
      <c r="A149" t="s">
        <v>126</v>
      </c>
    </row>
    <row r="150" spans="1:1" x14ac:dyDescent="0.35">
      <c r="A150" t="s">
        <v>126</v>
      </c>
    </row>
    <row r="151" spans="1:1" x14ac:dyDescent="0.35">
      <c r="A151" t="s">
        <v>127</v>
      </c>
    </row>
    <row r="152" spans="1:1" x14ac:dyDescent="0.35">
      <c r="A152" t="s">
        <v>127</v>
      </c>
    </row>
    <row r="153" spans="1:1" x14ac:dyDescent="0.35">
      <c r="A153" t="s">
        <v>128</v>
      </c>
    </row>
    <row r="154" spans="1:1" x14ac:dyDescent="0.35">
      <c r="A154" t="s">
        <v>128</v>
      </c>
    </row>
    <row r="155" spans="1:1" x14ac:dyDescent="0.35">
      <c r="A155" t="s">
        <v>129</v>
      </c>
    </row>
    <row r="156" spans="1:1" x14ac:dyDescent="0.35">
      <c r="A156" t="s">
        <v>130</v>
      </c>
    </row>
    <row r="157" spans="1:1" x14ac:dyDescent="0.35">
      <c r="A157" t="s">
        <v>131</v>
      </c>
    </row>
    <row r="158" spans="1:1" x14ac:dyDescent="0.35">
      <c r="A158" t="s">
        <v>131</v>
      </c>
    </row>
    <row r="159" spans="1:1" x14ac:dyDescent="0.35">
      <c r="A159" t="s">
        <v>132</v>
      </c>
    </row>
    <row r="160" spans="1:1" x14ac:dyDescent="0.35">
      <c r="A160" t="s">
        <v>133</v>
      </c>
    </row>
    <row r="161" spans="1:1" x14ac:dyDescent="0.35">
      <c r="A161" t="s">
        <v>83</v>
      </c>
    </row>
    <row r="162" spans="1:1" x14ac:dyDescent="0.35">
      <c r="A162" t="s">
        <v>83</v>
      </c>
    </row>
    <row r="163" spans="1:1" x14ac:dyDescent="0.35">
      <c r="A163" t="s">
        <v>134</v>
      </c>
    </row>
    <row r="164" spans="1:1" x14ac:dyDescent="0.35">
      <c r="A164" t="s">
        <v>85</v>
      </c>
    </row>
    <row r="165" spans="1:1" x14ac:dyDescent="0.35">
      <c r="A165" t="s">
        <v>135</v>
      </c>
    </row>
    <row r="166" spans="1:1" x14ac:dyDescent="0.35">
      <c r="A166" t="s">
        <v>21</v>
      </c>
    </row>
    <row r="167" spans="1:1" x14ac:dyDescent="0.35">
      <c r="A167" t="s">
        <v>136</v>
      </c>
    </row>
    <row r="168" spans="1:1" x14ac:dyDescent="0.35">
      <c r="A168" t="s">
        <v>137</v>
      </c>
    </row>
    <row r="169" spans="1:1" x14ac:dyDescent="0.35">
      <c r="A169" t="s">
        <v>138</v>
      </c>
    </row>
    <row r="170" spans="1:1" x14ac:dyDescent="0.35">
      <c r="A170" t="s">
        <v>139</v>
      </c>
    </row>
    <row r="171" spans="1:1" x14ac:dyDescent="0.35">
      <c r="A171" t="s">
        <v>140</v>
      </c>
    </row>
    <row r="172" spans="1:1" x14ac:dyDescent="0.35">
      <c r="A172" t="s">
        <v>141</v>
      </c>
    </row>
    <row r="173" spans="1:1" x14ac:dyDescent="0.35">
      <c r="A173" t="s">
        <v>140</v>
      </c>
    </row>
    <row r="174" spans="1:1" x14ac:dyDescent="0.35">
      <c r="A174" t="s">
        <v>140</v>
      </c>
    </row>
    <row r="175" spans="1:1" x14ac:dyDescent="0.35">
      <c r="A175" t="s">
        <v>142</v>
      </c>
    </row>
    <row r="176" spans="1:1" x14ac:dyDescent="0.35">
      <c r="A176" t="s">
        <v>142</v>
      </c>
    </row>
    <row r="177" spans="1:1" x14ac:dyDescent="0.35">
      <c r="A177" t="s">
        <v>142</v>
      </c>
    </row>
    <row r="178" spans="1:1" x14ac:dyDescent="0.35">
      <c r="A178" t="s">
        <v>142</v>
      </c>
    </row>
    <row r="179" spans="1:1" x14ac:dyDescent="0.35">
      <c r="A179" t="s">
        <v>142</v>
      </c>
    </row>
    <row r="180" spans="1:1" x14ac:dyDescent="0.35">
      <c r="A180" t="s">
        <v>142</v>
      </c>
    </row>
    <row r="181" spans="1:1" x14ac:dyDescent="0.35">
      <c r="A181" t="s">
        <v>32</v>
      </c>
    </row>
    <row r="182" spans="1:1" x14ac:dyDescent="0.35">
      <c r="A182" t="s">
        <v>143</v>
      </c>
    </row>
    <row r="183" spans="1:1" x14ac:dyDescent="0.35">
      <c r="A183" t="s">
        <v>144</v>
      </c>
    </row>
    <row r="184" spans="1:1" x14ac:dyDescent="0.35">
      <c r="A184" t="s">
        <v>145</v>
      </c>
    </row>
    <row r="185" spans="1:1" x14ac:dyDescent="0.35">
      <c r="A185" t="s">
        <v>145</v>
      </c>
    </row>
    <row r="186" spans="1:1" x14ac:dyDescent="0.35">
      <c r="A186" t="s">
        <v>146</v>
      </c>
    </row>
    <row r="187" spans="1:1" x14ac:dyDescent="0.35">
      <c r="A187" t="s">
        <v>147</v>
      </c>
    </row>
    <row r="188" spans="1:1" x14ac:dyDescent="0.35">
      <c r="A188" t="s">
        <v>148</v>
      </c>
    </row>
    <row r="189" spans="1:1" x14ac:dyDescent="0.35">
      <c r="A189" t="s">
        <v>128</v>
      </c>
    </row>
    <row r="190" spans="1:1" x14ac:dyDescent="0.35">
      <c r="A190" t="s">
        <v>16</v>
      </c>
    </row>
    <row r="191" spans="1:1" x14ac:dyDescent="0.35">
      <c r="A191" t="s">
        <v>149</v>
      </c>
    </row>
    <row r="192" spans="1:1" x14ac:dyDescent="0.35">
      <c r="A192" t="s">
        <v>127</v>
      </c>
    </row>
    <row r="193" spans="1:1" x14ac:dyDescent="0.35">
      <c r="A193" t="s">
        <v>150</v>
      </c>
    </row>
    <row r="194" spans="1:1" x14ac:dyDescent="0.35">
      <c r="A194" t="s">
        <v>151</v>
      </c>
    </row>
    <row r="195" spans="1:1" x14ac:dyDescent="0.35">
      <c r="A195" t="s">
        <v>152</v>
      </c>
    </row>
    <row r="196" spans="1:1" x14ac:dyDescent="0.35">
      <c r="A196" t="s">
        <v>127</v>
      </c>
    </row>
    <row r="197" spans="1:1" x14ac:dyDescent="0.35">
      <c r="A197" t="s">
        <v>127</v>
      </c>
    </row>
    <row r="198" spans="1:1" x14ac:dyDescent="0.35">
      <c r="A198" t="s">
        <v>153</v>
      </c>
    </row>
    <row r="199" spans="1:1" x14ac:dyDescent="0.35">
      <c r="A199" t="s">
        <v>154</v>
      </c>
    </row>
    <row r="200" spans="1:1" x14ac:dyDescent="0.35">
      <c r="A200" t="s">
        <v>32</v>
      </c>
    </row>
    <row r="201" spans="1:1" x14ac:dyDescent="0.35">
      <c r="A201" t="s">
        <v>155</v>
      </c>
    </row>
    <row r="202" spans="1:1" x14ac:dyDescent="0.35">
      <c r="A202" t="s">
        <v>82</v>
      </c>
    </row>
    <row r="203" spans="1:1" x14ac:dyDescent="0.35">
      <c r="A203" t="s">
        <v>82</v>
      </c>
    </row>
    <row r="204" spans="1:1" x14ac:dyDescent="0.35">
      <c r="A204" t="s">
        <v>156</v>
      </c>
    </row>
    <row r="205" spans="1:1" x14ac:dyDescent="0.35">
      <c r="A205" t="s">
        <v>157</v>
      </c>
    </row>
    <row r="206" spans="1:1" x14ac:dyDescent="0.35">
      <c r="A206" t="s">
        <v>158</v>
      </c>
    </row>
    <row r="207" spans="1:1" x14ac:dyDescent="0.35">
      <c r="A207" t="s">
        <v>159</v>
      </c>
    </row>
    <row r="208" spans="1:1" x14ac:dyDescent="0.35">
      <c r="A208" t="s">
        <v>160</v>
      </c>
    </row>
    <row r="209" spans="1:1" x14ac:dyDescent="0.35">
      <c r="A209" t="s">
        <v>161</v>
      </c>
    </row>
    <row r="210" spans="1:1" x14ac:dyDescent="0.35">
      <c r="A210" t="s">
        <v>162</v>
      </c>
    </row>
    <row r="211" spans="1:1" x14ac:dyDescent="0.35">
      <c r="A211" t="s">
        <v>163</v>
      </c>
    </row>
    <row r="212" spans="1:1" x14ac:dyDescent="0.35">
      <c r="A212" t="s">
        <v>164</v>
      </c>
    </row>
    <row r="213" spans="1:1" x14ac:dyDescent="0.35">
      <c r="A213" t="s">
        <v>165</v>
      </c>
    </row>
    <row r="214" spans="1:1" x14ac:dyDescent="0.35">
      <c r="A214" t="s">
        <v>166</v>
      </c>
    </row>
    <row r="215" spans="1:1" x14ac:dyDescent="0.35">
      <c r="A215" t="s">
        <v>82</v>
      </c>
    </row>
    <row r="216" spans="1:1" x14ac:dyDescent="0.35">
      <c r="A216" t="s">
        <v>167</v>
      </c>
    </row>
    <row r="217" spans="1:1" x14ac:dyDescent="0.35">
      <c r="A217" t="s">
        <v>82</v>
      </c>
    </row>
    <row r="218" spans="1:1" x14ac:dyDescent="0.35">
      <c r="A218" t="s">
        <v>84</v>
      </c>
    </row>
    <row r="219" spans="1:1" x14ac:dyDescent="0.35">
      <c r="A219" t="s">
        <v>168</v>
      </c>
    </row>
    <row r="220" spans="1:1" x14ac:dyDescent="0.35">
      <c r="A220" t="s">
        <v>169</v>
      </c>
    </row>
    <row r="221" spans="1:1" x14ac:dyDescent="0.35">
      <c r="A221" t="s">
        <v>39</v>
      </c>
    </row>
    <row r="222" spans="1:1" x14ac:dyDescent="0.35">
      <c r="A222" t="s">
        <v>168</v>
      </c>
    </row>
    <row r="223" spans="1:1" x14ac:dyDescent="0.35">
      <c r="A223" t="s">
        <v>170</v>
      </c>
    </row>
    <row r="224" spans="1:1" x14ac:dyDescent="0.35">
      <c r="A224" t="s">
        <v>171</v>
      </c>
    </row>
    <row r="225" spans="1:1" x14ac:dyDescent="0.35">
      <c r="A225" t="s">
        <v>172</v>
      </c>
    </row>
    <row r="226" spans="1:1" x14ac:dyDescent="0.35">
      <c r="A226" t="s">
        <v>173</v>
      </c>
    </row>
    <row r="227" spans="1:1" x14ac:dyDescent="0.35">
      <c r="A227" t="s">
        <v>174</v>
      </c>
    </row>
    <row r="228" spans="1:1" x14ac:dyDescent="0.35">
      <c r="A228" t="s">
        <v>175</v>
      </c>
    </row>
    <row r="229" spans="1:1" x14ac:dyDescent="0.35">
      <c r="A229" t="s">
        <v>176</v>
      </c>
    </row>
    <row r="230" spans="1:1" x14ac:dyDescent="0.35">
      <c r="A230" t="s">
        <v>32</v>
      </c>
    </row>
    <row r="231" spans="1:1" x14ac:dyDescent="0.35">
      <c r="A231" t="s">
        <v>177</v>
      </c>
    </row>
    <row r="232" spans="1:1" x14ac:dyDescent="0.35">
      <c r="A232" t="s">
        <v>178</v>
      </c>
    </row>
    <row r="233" spans="1:1" x14ac:dyDescent="0.35">
      <c r="A233" t="s">
        <v>179</v>
      </c>
    </row>
    <row r="234" spans="1:1" x14ac:dyDescent="0.35">
      <c r="A234" t="s">
        <v>180</v>
      </c>
    </row>
    <row r="235" spans="1:1" x14ac:dyDescent="0.35">
      <c r="A235" t="s">
        <v>181</v>
      </c>
    </row>
    <row r="236" spans="1:1" x14ac:dyDescent="0.35">
      <c r="A236" t="s">
        <v>182</v>
      </c>
    </row>
    <row r="237" spans="1:1" x14ac:dyDescent="0.35">
      <c r="A237" t="s">
        <v>182</v>
      </c>
    </row>
    <row r="238" spans="1:1" x14ac:dyDescent="0.35">
      <c r="A238" t="s">
        <v>82</v>
      </c>
    </row>
    <row r="239" spans="1:1" x14ac:dyDescent="0.35">
      <c r="A239" t="s">
        <v>82</v>
      </c>
    </row>
    <row r="240" spans="1:1" x14ac:dyDescent="0.35">
      <c r="A240" t="s">
        <v>32</v>
      </c>
    </row>
    <row r="241" spans="1:1" x14ac:dyDescent="0.35">
      <c r="A241" t="s">
        <v>183</v>
      </c>
    </row>
    <row r="242" spans="1:1" x14ac:dyDescent="0.35">
      <c r="A242" t="s">
        <v>184</v>
      </c>
    </row>
    <row r="243" spans="1:1" x14ac:dyDescent="0.35">
      <c r="A243" t="s">
        <v>185</v>
      </c>
    </row>
    <row r="244" spans="1:1" x14ac:dyDescent="0.35">
      <c r="A244" t="s">
        <v>186</v>
      </c>
    </row>
    <row r="245" spans="1:1" x14ac:dyDescent="0.35">
      <c r="A245" t="s">
        <v>187</v>
      </c>
    </row>
    <row r="246" spans="1:1" x14ac:dyDescent="0.35">
      <c r="A246" t="s">
        <v>188</v>
      </c>
    </row>
    <row r="247" spans="1:1" x14ac:dyDescent="0.35">
      <c r="A247" t="s">
        <v>189</v>
      </c>
    </row>
    <row r="248" spans="1:1" x14ac:dyDescent="0.35">
      <c r="A248" t="s">
        <v>190</v>
      </c>
    </row>
    <row r="249" spans="1:1" x14ac:dyDescent="0.35">
      <c r="A249" t="s">
        <v>93</v>
      </c>
    </row>
    <row r="250" spans="1:1" x14ac:dyDescent="0.35">
      <c r="A250" t="s">
        <v>191</v>
      </c>
    </row>
    <row r="251" spans="1:1" x14ac:dyDescent="0.35">
      <c r="A251" t="s">
        <v>151</v>
      </c>
    </row>
    <row r="252" spans="1:1" x14ac:dyDescent="0.35">
      <c r="A252" t="s">
        <v>151</v>
      </c>
    </row>
    <row r="253" spans="1:1" x14ac:dyDescent="0.35">
      <c r="A253" t="s">
        <v>192</v>
      </c>
    </row>
    <row r="254" spans="1:1" x14ac:dyDescent="0.35">
      <c r="A254" t="s">
        <v>193</v>
      </c>
    </row>
    <row r="255" spans="1:1" x14ac:dyDescent="0.35">
      <c r="A255" t="s">
        <v>194</v>
      </c>
    </row>
    <row r="256" spans="1:1" x14ac:dyDescent="0.35">
      <c r="A256" t="s">
        <v>195</v>
      </c>
    </row>
    <row r="257" spans="1:1" x14ac:dyDescent="0.35">
      <c r="A257" t="s">
        <v>196</v>
      </c>
    </row>
    <row r="258" spans="1:1" x14ac:dyDescent="0.35">
      <c r="A258" t="s">
        <v>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4"/>
  <sheetViews>
    <sheetView topLeftCell="A133" workbookViewId="0">
      <selection activeCell="A141" sqref="A141:A149"/>
    </sheetView>
  </sheetViews>
  <sheetFormatPr baseColWidth="10" defaultColWidth="8.7265625" defaultRowHeight="14.5" x14ac:dyDescent="0.35"/>
  <cols>
    <col min="1" max="1" width="153.81640625" bestFit="1" customWidth="1"/>
    <col min="2" max="2" width="6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s="1" customFormat="1" x14ac:dyDescent="0.35">
      <c r="A2" s="1" t="s">
        <v>198</v>
      </c>
    </row>
    <row r="3" spans="1:3" s="1" customFormat="1" x14ac:dyDescent="0.35">
      <c r="A3" s="1" t="s">
        <v>199</v>
      </c>
    </row>
    <row r="4" spans="1:3" s="1" customFormat="1" x14ac:dyDescent="0.35">
      <c r="A4" s="1" t="s">
        <v>200</v>
      </c>
    </row>
    <row r="5" spans="1:3" s="1" customFormat="1" x14ac:dyDescent="0.35">
      <c r="A5" s="1" t="s">
        <v>201</v>
      </c>
    </row>
    <row r="6" spans="1:3" s="1" customFormat="1" x14ac:dyDescent="0.35">
      <c r="A6" s="1" t="s">
        <v>202</v>
      </c>
    </row>
    <row r="7" spans="1:3" s="1" customFormat="1" x14ac:dyDescent="0.35">
      <c r="A7" s="1" t="s">
        <v>203</v>
      </c>
    </row>
    <row r="8" spans="1:3" s="1" customFormat="1" x14ac:dyDescent="0.35">
      <c r="A8" s="1" t="s">
        <v>204</v>
      </c>
    </row>
    <row r="9" spans="1:3" s="1" customFormat="1" x14ac:dyDescent="0.35">
      <c r="A9" s="1" t="s">
        <v>205</v>
      </c>
    </row>
    <row r="10" spans="1:3" s="1" customFormat="1" x14ac:dyDescent="0.35">
      <c r="A10" s="1" t="s">
        <v>206</v>
      </c>
    </row>
    <row r="11" spans="1:3" s="1" customFormat="1" x14ac:dyDescent="0.35">
      <c r="A11" s="1" t="s">
        <v>207</v>
      </c>
    </row>
    <row r="12" spans="1:3" s="1" customFormat="1" x14ac:dyDescent="0.35">
      <c r="A12" s="1" t="s">
        <v>208</v>
      </c>
    </row>
    <row r="13" spans="1:3" s="1" customFormat="1" x14ac:dyDescent="0.35">
      <c r="A13" s="1" t="s">
        <v>209</v>
      </c>
    </row>
    <row r="14" spans="1:3" s="1" customFormat="1" x14ac:dyDescent="0.35">
      <c r="A14" s="1" t="s">
        <v>210</v>
      </c>
    </row>
    <row r="15" spans="1:3" s="1" customFormat="1" x14ac:dyDescent="0.35">
      <c r="A15" s="1" t="s">
        <v>211</v>
      </c>
    </row>
    <row r="16" spans="1:3" s="1" customFormat="1" x14ac:dyDescent="0.35">
      <c r="A16" s="1" t="s">
        <v>212</v>
      </c>
    </row>
    <row r="17" spans="1:1" s="1" customFormat="1" x14ac:dyDescent="0.35">
      <c r="A17" s="1" t="s">
        <v>213</v>
      </c>
    </row>
    <row r="18" spans="1:1" s="1" customFormat="1" x14ac:dyDescent="0.35">
      <c r="A18" s="1" t="s">
        <v>214</v>
      </c>
    </row>
    <row r="19" spans="1:1" s="1" customFormat="1" x14ac:dyDescent="0.35">
      <c r="A19" s="1" t="s">
        <v>215</v>
      </c>
    </row>
    <row r="20" spans="1:1" s="1" customFormat="1" x14ac:dyDescent="0.35">
      <c r="A20" s="1" t="s">
        <v>216</v>
      </c>
    </row>
    <row r="21" spans="1:1" s="2" customFormat="1" x14ac:dyDescent="0.35">
      <c r="A21" s="2" t="s">
        <v>217</v>
      </c>
    </row>
    <row r="22" spans="1:1" s="2" customFormat="1" x14ac:dyDescent="0.35">
      <c r="A22" s="2" t="s">
        <v>218</v>
      </c>
    </row>
    <row r="23" spans="1:1" s="2" customFormat="1" x14ac:dyDescent="0.35">
      <c r="A23" s="2" t="s">
        <v>219</v>
      </c>
    </row>
    <row r="24" spans="1:1" s="2" customFormat="1" x14ac:dyDescent="0.35">
      <c r="A24" s="2" t="s">
        <v>220</v>
      </c>
    </row>
    <row r="25" spans="1:1" s="2" customFormat="1" x14ac:dyDescent="0.35">
      <c r="A25" s="2" t="s">
        <v>221</v>
      </c>
    </row>
    <row r="26" spans="1:1" s="2" customFormat="1" x14ac:dyDescent="0.35">
      <c r="A26" s="2" t="s">
        <v>222</v>
      </c>
    </row>
    <row r="27" spans="1:1" s="2" customFormat="1" x14ac:dyDescent="0.35">
      <c r="A27" s="2" t="s">
        <v>223</v>
      </c>
    </row>
    <row r="28" spans="1:1" s="2" customFormat="1" x14ac:dyDescent="0.35">
      <c r="A28" s="2" t="s">
        <v>224</v>
      </c>
    </row>
    <row r="29" spans="1:1" s="2" customFormat="1" x14ac:dyDescent="0.35">
      <c r="A29" s="2" t="s">
        <v>225</v>
      </c>
    </row>
    <row r="30" spans="1:1" s="2" customFormat="1" x14ac:dyDescent="0.35">
      <c r="A30" s="2" t="s">
        <v>226</v>
      </c>
    </row>
    <row r="31" spans="1:1" s="2" customFormat="1" x14ac:dyDescent="0.35">
      <c r="A31" s="2" t="s">
        <v>227</v>
      </c>
    </row>
    <row r="32" spans="1:1" s="2" customFormat="1" x14ac:dyDescent="0.35">
      <c r="A32" s="2" t="s">
        <v>228</v>
      </c>
    </row>
    <row r="33" spans="1:1" s="2" customFormat="1" x14ac:dyDescent="0.35">
      <c r="A33" s="2" t="s">
        <v>229</v>
      </c>
    </row>
    <row r="34" spans="1:1" s="2" customFormat="1" x14ac:dyDescent="0.35">
      <c r="A34" s="2" t="s">
        <v>230</v>
      </c>
    </row>
    <row r="35" spans="1:1" s="2" customFormat="1" x14ac:dyDescent="0.35">
      <c r="A35" s="2" t="s">
        <v>231</v>
      </c>
    </row>
    <row r="36" spans="1:1" s="2" customFormat="1" x14ac:dyDescent="0.35">
      <c r="A36" s="2" t="s">
        <v>232</v>
      </c>
    </row>
    <row r="37" spans="1:1" s="2" customFormat="1" x14ac:dyDescent="0.35">
      <c r="A37" s="2" t="s">
        <v>233</v>
      </c>
    </row>
    <row r="38" spans="1:1" s="2" customFormat="1" x14ac:dyDescent="0.35">
      <c r="A38" s="2" t="s">
        <v>234</v>
      </c>
    </row>
    <row r="39" spans="1:1" s="2" customFormat="1" x14ac:dyDescent="0.35">
      <c r="A39" s="2" t="s">
        <v>235</v>
      </c>
    </row>
    <row r="40" spans="1:1" s="2" customFormat="1" x14ac:dyDescent="0.35">
      <c r="A40" s="2" t="s">
        <v>236</v>
      </c>
    </row>
    <row r="41" spans="1:1" s="2" customFormat="1" x14ac:dyDescent="0.35">
      <c r="A41" s="2" t="s">
        <v>237</v>
      </c>
    </row>
    <row r="42" spans="1:1" s="2" customFormat="1" x14ac:dyDescent="0.35">
      <c r="A42" s="2" t="s">
        <v>238</v>
      </c>
    </row>
    <row r="43" spans="1:1" s="3" customFormat="1" x14ac:dyDescent="0.35">
      <c r="A43" s="3" t="s">
        <v>239</v>
      </c>
    </row>
    <row r="44" spans="1:1" s="3" customFormat="1" x14ac:dyDescent="0.35">
      <c r="A44" s="3" t="s">
        <v>240</v>
      </c>
    </row>
    <row r="45" spans="1:1" s="3" customFormat="1" x14ac:dyDescent="0.35">
      <c r="A45" s="3" t="s">
        <v>241</v>
      </c>
    </row>
    <row r="46" spans="1:1" s="3" customFormat="1" x14ac:dyDescent="0.35">
      <c r="A46" s="3" t="s">
        <v>242</v>
      </c>
    </row>
    <row r="47" spans="1:1" s="3" customFormat="1" x14ac:dyDescent="0.35">
      <c r="A47" s="3" t="s">
        <v>243</v>
      </c>
    </row>
    <row r="48" spans="1:1" s="3" customFormat="1" x14ac:dyDescent="0.35">
      <c r="A48" s="3" t="s">
        <v>244</v>
      </c>
    </row>
    <row r="49" spans="1:1" s="3" customFormat="1" x14ac:dyDescent="0.35">
      <c r="A49" s="3" t="s">
        <v>245</v>
      </c>
    </row>
    <row r="50" spans="1:1" s="3" customFormat="1" x14ac:dyDescent="0.35">
      <c r="A50" s="3" t="s">
        <v>246</v>
      </c>
    </row>
    <row r="51" spans="1:1" s="3" customFormat="1" x14ac:dyDescent="0.35">
      <c r="A51" s="3" t="s">
        <v>247</v>
      </c>
    </row>
    <row r="52" spans="1:1" s="3" customFormat="1" x14ac:dyDescent="0.35">
      <c r="A52" s="3" t="s">
        <v>248</v>
      </c>
    </row>
    <row r="53" spans="1:1" s="3" customFormat="1" x14ac:dyDescent="0.35">
      <c r="A53" s="3" t="s">
        <v>249</v>
      </c>
    </row>
    <row r="54" spans="1:1" s="3" customFormat="1" x14ac:dyDescent="0.35">
      <c r="A54" s="3" t="s">
        <v>250</v>
      </c>
    </row>
    <row r="55" spans="1:1" s="3" customFormat="1" x14ac:dyDescent="0.35">
      <c r="A55" s="3" t="s">
        <v>251</v>
      </c>
    </row>
    <row r="56" spans="1:1" s="3" customFormat="1" x14ac:dyDescent="0.35">
      <c r="A56" s="3" t="s">
        <v>252</v>
      </c>
    </row>
    <row r="57" spans="1:1" s="3" customFormat="1" x14ac:dyDescent="0.35">
      <c r="A57" s="3" t="s">
        <v>253</v>
      </c>
    </row>
    <row r="58" spans="1:1" s="3" customFormat="1" x14ac:dyDescent="0.35">
      <c r="A58" s="3" t="s">
        <v>254</v>
      </c>
    </row>
    <row r="59" spans="1:1" s="3" customFormat="1" x14ac:dyDescent="0.35">
      <c r="A59" s="3" t="s">
        <v>255</v>
      </c>
    </row>
    <row r="60" spans="1:1" s="3" customFormat="1" x14ac:dyDescent="0.35">
      <c r="A60" s="3" t="s">
        <v>256</v>
      </c>
    </row>
    <row r="61" spans="1:1" s="3" customFormat="1" x14ac:dyDescent="0.35">
      <c r="A61" s="3" t="s">
        <v>257</v>
      </c>
    </row>
    <row r="62" spans="1:1" s="3" customFormat="1" x14ac:dyDescent="0.35">
      <c r="A62" s="3" t="s">
        <v>258</v>
      </c>
    </row>
    <row r="63" spans="1:1" s="3" customFormat="1" x14ac:dyDescent="0.35">
      <c r="A63" s="3" t="s">
        <v>259</v>
      </c>
    </row>
    <row r="64" spans="1:1" s="3" customFormat="1" x14ac:dyDescent="0.35">
      <c r="A64" s="3" t="s">
        <v>260</v>
      </c>
    </row>
    <row r="65" spans="1:1" s="3" customFormat="1" x14ac:dyDescent="0.35">
      <c r="A65" s="3" t="s">
        <v>261</v>
      </c>
    </row>
    <row r="66" spans="1:1" s="3" customFormat="1" x14ac:dyDescent="0.35">
      <c r="A66" s="3" t="s">
        <v>262</v>
      </c>
    </row>
    <row r="67" spans="1:1" s="3" customFormat="1" x14ac:dyDescent="0.35">
      <c r="A67" s="3" t="s">
        <v>263</v>
      </c>
    </row>
    <row r="68" spans="1:1" s="3" customFormat="1" x14ac:dyDescent="0.35">
      <c r="A68" s="3" t="s">
        <v>264</v>
      </c>
    </row>
    <row r="69" spans="1:1" s="3" customFormat="1" x14ac:dyDescent="0.35">
      <c r="A69" s="3" t="s">
        <v>265</v>
      </c>
    </row>
    <row r="70" spans="1:1" s="3" customFormat="1" x14ac:dyDescent="0.35">
      <c r="A70" s="3" t="s">
        <v>266</v>
      </c>
    </row>
    <row r="71" spans="1:1" s="3" customFormat="1" x14ac:dyDescent="0.35">
      <c r="A71" s="3" t="s">
        <v>267</v>
      </c>
    </row>
    <row r="72" spans="1:1" s="3" customFormat="1" x14ac:dyDescent="0.35">
      <c r="A72" s="3" t="s">
        <v>268</v>
      </c>
    </row>
    <row r="73" spans="1:1" s="3" customFormat="1" x14ac:dyDescent="0.35">
      <c r="A73" s="3" t="s">
        <v>269</v>
      </c>
    </row>
    <row r="74" spans="1:1" s="3" customFormat="1" x14ac:dyDescent="0.35">
      <c r="A74" s="3" t="s">
        <v>270</v>
      </c>
    </row>
    <row r="75" spans="1:1" s="3" customFormat="1" x14ac:dyDescent="0.35">
      <c r="A75" s="3" t="s">
        <v>271</v>
      </c>
    </row>
    <row r="76" spans="1:1" s="3" customFormat="1" x14ac:dyDescent="0.35">
      <c r="A76" s="3" t="s">
        <v>272</v>
      </c>
    </row>
    <row r="77" spans="1:1" s="3" customFormat="1" x14ac:dyDescent="0.35">
      <c r="A77" s="3" t="s">
        <v>273</v>
      </c>
    </row>
    <row r="78" spans="1:1" s="3" customFormat="1" x14ac:dyDescent="0.35">
      <c r="A78" s="3" t="s">
        <v>274</v>
      </c>
    </row>
    <row r="79" spans="1:1" s="3" customFormat="1" x14ac:dyDescent="0.35">
      <c r="A79" s="3" t="s">
        <v>275</v>
      </c>
    </row>
    <row r="80" spans="1:1" s="3" customFormat="1" x14ac:dyDescent="0.35">
      <c r="A80" s="3" t="s">
        <v>276</v>
      </c>
    </row>
    <row r="81" spans="1:1" s="3" customFormat="1" x14ac:dyDescent="0.35">
      <c r="A81" s="3" t="s">
        <v>277</v>
      </c>
    </row>
    <row r="82" spans="1:1" s="3" customFormat="1" x14ac:dyDescent="0.35">
      <c r="A82" s="3" t="s">
        <v>278</v>
      </c>
    </row>
    <row r="83" spans="1:1" s="3" customFormat="1" x14ac:dyDescent="0.35">
      <c r="A83" s="3" t="s">
        <v>279</v>
      </c>
    </row>
    <row r="84" spans="1:1" s="3" customFormat="1" x14ac:dyDescent="0.35">
      <c r="A84" s="3" t="s">
        <v>280</v>
      </c>
    </row>
    <row r="85" spans="1:1" s="3" customFormat="1" x14ac:dyDescent="0.35">
      <c r="A85" s="3" t="s">
        <v>281</v>
      </c>
    </row>
    <row r="86" spans="1:1" s="3" customFormat="1" x14ac:dyDescent="0.35">
      <c r="A86" s="3" t="s">
        <v>282</v>
      </c>
    </row>
    <row r="87" spans="1:1" x14ac:dyDescent="0.35">
      <c r="A87" s="4" t="s">
        <v>283</v>
      </c>
    </row>
    <row r="88" spans="1:1" x14ac:dyDescent="0.35">
      <c r="A88" s="4" t="s">
        <v>284</v>
      </c>
    </row>
    <row r="89" spans="1:1" x14ac:dyDescent="0.35">
      <c r="A89" s="4" t="s">
        <v>285</v>
      </c>
    </row>
    <row r="90" spans="1:1" x14ac:dyDescent="0.35">
      <c r="A90" s="4" t="s">
        <v>286</v>
      </c>
    </row>
    <row r="91" spans="1:1" x14ac:dyDescent="0.35">
      <c r="A91" s="4" t="s">
        <v>287</v>
      </c>
    </row>
    <row r="92" spans="1:1" x14ac:dyDescent="0.35">
      <c r="A92" s="4" t="s">
        <v>288</v>
      </c>
    </row>
    <row r="93" spans="1:1" x14ac:dyDescent="0.35">
      <c r="A93" t="s">
        <v>289</v>
      </c>
    </row>
    <row r="94" spans="1:1" x14ac:dyDescent="0.35">
      <c r="A94" t="s">
        <v>290</v>
      </c>
    </row>
    <row r="95" spans="1:1" x14ac:dyDescent="0.35">
      <c r="A95" t="s">
        <v>291</v>
      </c>
    </row>
    <row r="96" spans="1:1" x14ac:dyDescent="0.35">
      <c r="A96" t="s">
        <v>292</v>
      </c>
    </row>
    <row r="97" spans="1:1" x14ac:dyDescent="0.35">
      <c r="A97" t="s">
        <v>293</v>
      </c>
    </row>
    <row r="98" spans="1:1" x14ac:dyDescent="0.35">
      <c r="A98" t="s">
        <v>294</v>
      </c>
    </row>
    <row r="99" spans="1:1" x14ac:dyDescent="0.35">
      <c r="A99" t="s">
        <v>295</v>
      </c>
    </row>
    <row r="100" spans="1:1" x14ac:dyDescent="0.35">
      <c r="A100" t="s">
        <v>296</v>
      </c>
    </row>
    <row r="101" spans="1:1" x14ac:dyDescent="0.35">
      <c r="A101" t="s">
        <v>297</v>
      </c>
    </row>
    <row r="102" spans="1:1" x14ac:dyDescent="0.35">
      <c r="A102" t="s">
        <v>298</v>
      </c>
    </row>
    <row r="103" spans="1:1" x14ac:dyDescent="0.35">
      <c r="A103" t="s">
        <v>299</v>
      </c>
    </row>
    <row r="104" spans="1:1" x14ac:dyDescent="0.35">
      <c r="A104" t="s">
        <v>300</v>
      </c>
    </row>
    <row r="105" spans="1:1" x14ac:dyDescent="0.35">
      <c r="A105" t="s">
        <v>301</v>
      </c>
    </row>
    <row r="106" spans="1:1" x14ac:dyDescent="0.35">
      <c r="A106" s="4" t="s">
        <v>302</v>
      </c>
    </row>
    <row r="107" spans="1:1" x14ac:dyDescent="0.35">
      <c r="A107" s="4" t="s">
        <v>303</v>
      </c>
    </row>
    <row r="108" spans="1:1" x14ac:dyDescent="0.35">
      <c r="A108" s="4" t="s">
        <v>304</v>
      </c>
    </row>
    <row r="109" spans="1:1" x14ac:dyDescent="0.35">
      <c r="A109" s="4" t="s">
        <v>305</v>
      </c>
    </row>
    <row r="110" spans="1:1" x14ac:dyDescent="0.35">
      <c r="A110" s="4" t="s">
        <v>306</v>
      </c>
    </row>
    <row r="111" spans="1:1" x14ac:dyDescent="0.35">
      <c r="A111" s="4" t="s">
        <v>307</v>
      </c>
    </row>
    <row r="112" spans="1:1" x14ac:dyDescent="0.35">
      <c r="A112" s="4" t="s">
        <v>308</v>
      </c>
    </row>
    <row r="113" spans="1:1" x14ac:dyDescent="0.35">
      <c r="A113" s="4" t="s">
        <v>309</v>
      </c>
    </row>
    <row r="114" spans="1:1" x14ac:dyDescent="0.35">
      <c r="A114" s="4" t="s">
        <v>310</v>
      </c>
    </row>
    <row r="115" spans="1:1" x14ac:dyDescent="0.35">
      <c r="A115" s="4" t="s">
        <v>311</v>
      </c>
    </row>
    <row r="116" spans="1:1" x14ac:dyDescent="0.35">
      <c r="A116" s="4" t="s">
        <v>312</v>
      </c>
    </row>
    <row r="117" spans="1:1" x14ac:dyDescent="0.35">
      <c r="A117" s="4" t="s">
        <v>313</v>
      </c>
    </row>
    <row r="118" spans="1:1" x14ac:dyDescent="0.35">
      <c r="A118" s="4" t="s">
        <v>314</v>
      </c>
    </row>
    <row r="119" spans="1:1" x14ac:dyDescent="0.35">
      <c r="A119" s="4" t="s">
        <v>315</v>
      </c>
    </row>
    <row r="120" spans="1:1" x14ac:dyDescent="0.35">
      <c r="A120" s="5" t="s">
        <v>316</v>
      </c>
    </row>
    <row r="121" spans="1:1" x14ac:dyDescent="0.35">
      <c r="A121" s="5" t="s">
        <v>317</v>
      </c>
    </row>
    <row r="122" spans="1:1" x14ac:dyDescent="0.35">
      <c r="A122" s="5" t="s">
        <v>318</v>
      </c>
    </row>
    <row r="123" spans="1:1" x14ac:dyDescent="0.35">
      <c r="A123" s="5" t="s">
        <v>319</v>
      </c>
    </row>
    <row r="124" spans="1:1" x14ac:dyDescent="0.35">
      <c r="A124" s="5" t="s">
        <v>320</v>
      </c>
    </row>
    <row r="125" spans="1:1" x14ac:dyDescent="0.35">
      <c r="A125" s="5" t="s">
        <v>321</v>
      </c>
    </row>
    <row r="126" spans="1:1" x14ac:dyDescent="0.35">
      <c r="A126" s="5" t="s">
        <v>322</v>
      </c>
    </row>
    <row r="127" spans="1:1" x14ac:dyDescent="0.35">
      <c r="A127" s="5" t="s">
        <v>323</v>
      </c>
    </row>
    <row r="128" spans="1:1" x14ac:dyDescent="0.35">
      <c r="A128" s="5" t="s">
        <v>324</v>
      </c>
    </row>
    <row r="129" spans="1:1" x14ac:dyDescent="0.35">
      <c r="A129" s="5" t="s">
        <v>325</v>
      </c>
    </row>
    <row r="130" spans="1:1" x14ac:dyDescent="0.35">
      <c r="A130" s="5" t="s">
        <v>326</v>
      </c>
    </row>
    <row r="131" spans="1:1" x14ac:dyDescent="0.35">
      <c r="A131" s="5" t="s">
        <v>327</v>
      </c>
    </row>
    <row r="132" spans="1:1" x14ac:dyDescent="0.35">
      <c r="A132" s="5" t="s">
        <v>328</v>
      </c>
    </row>
    <row r="133" spans="1:1" x14ac:dyDescent="0.35">
      <c r="A133" s="5" t="s">
        <v>329</v>
      </c>
    </row>
    <row r="134" spans="1:1" x14ac:dyDescent="0.35">
      <c r="A134" s="5" t="s">
        <v>330</v>
      </c>
    </row>
    <row r="135" spans="1:1" x14ac:dyDescent="0.35">
      <c r="A135" s="5" t="s">
        <v>331</v>
      </c>
    </row>
    <row r="136" spans="1:1" x14ac:dyDescent="0.35">
      <c r="A136" s="5" t="s">
        <v>332</v>
      </c>
    </row>
    <row r="137" spans="1:1" x14ac:dyDescent="0.35">
      <c r="A137" s="5" t="s">
        <v>333</v>
      </c>
    </row>
    <row r="138" spans="1:1" x14ac:dyDescent="0.35">
      <c r="A138" s="5" t="s">
        <v>334</v>
      </c>
    </row>
    <row r="139" spans="1:1" x14ac:dyDescent="0.35">
      <c r="A139" s="5" t="s">
        <v>335</v>
      </c>
    </row>
    <row r="140" spans="1:1" x14ac:dyDescent="0.35">
      <c r="A140" s="5" t="s">
        <v>336</v>
      </c>
    </row>
    <row r="141" spans="1:1" x14ac:dyDescent="0.35">
      <c r="A141" t="s">
        <v>337</v>
      </c>
    </row>
    <row r="142" spans="1:1" x14ac:dyDescent="0.35">
      <c r="A142" t="s">
        <v>338</v>
      </c>
    </row>
    <row r="143" spans="1:1" x14ac:dyDescent="0.35">
      <c r="A143" t="s">
        <v>339</v>
      </c>
    </row>
    <row r="144" spans="1:1" x14ac:dyDescent="0.35">
      <c r="A144" t="s">
        <v>340</v>
      </c>
    </row>
    <row r="145" spans="1:1" x14ac:dyDescent="0.35">
      <c r="A145" t="s">
        <v>341</v>
      </c>
    </row>
    <row r="146" spans="1:1" x14ac:dyDescent="0.35">
      <c r="A146" t="s">
        <v>342</v>
      </c>
    </row>
    <row r="147" spans="1:1" x14ac:dyDescent="0.35">
      <c r="A147" t="s">
        <v>343</v>
      </c>
    </row>
    <row r="148" spans="1:1" x14ac:dyDescent="0.35">
      <c r="A148" t="s">
        <v>344</v>
      </c>
    </row>
    <row r="149" spans="1:1" x14ac:dyDescent="0.35">
      <c r="A149" t="s">
        <v>345</v>
      </c>
    </row>
    <row r="150" spans="1:1" x14ac:dyDescent="0.35">
      <c r="A150" t="s">
        <v>346</v>
      </c>
    </row>
    <row r="151" spans="1:1" x14ac:dyDescent="0.35">
      <c r="A151" t="s">
        <v>347</v>
      </c>
    </row>
    <row r="152" spans="1:1" x14ac:dyDescent="0.35">
      <c r="A152" t="s">
        <v>348</v>
      </c>
    </row>
    <row r="153" spans="1:1" x14ac:dyDescent="0.35">
      <c r="A153" t="s">
        <v>349</v>
      </c>
    </row>
    <row r="154" spans="1:1" x14ac:dyDescent="0.35">
      <c r="A154" t="s">
        <v>350</v>
      </c>
    </row>
    <row r="155" spans="1:1" x14ac:dyDescent="0.35">
      <c r="A155" t="s">
        <v>351</v>
      </c>
    </row>
    <row r="156" spans="1:1" x14ac:dyDescent="0.35">
      <c r="A156" t="s">
        <v>352</v>
      </c>
    </row>
    <row r="157" spans="1:1" x14ac:dyDescent="0.35">
      <c r="A157" t="s">
        <v>353</v>
      </c>
    </row>
    <row r="158" spans="1:1" x14ac:dyDescent="0.35">
      <c r="A158" t="s">
        <v>354</v>
      </c>
    </row>
    <row r="159" spans="1:1" x14ac:dyDescent="0.35">
      <c r="A159" t="s">
        <v>355</v>
      </c>
    </row>
    <row r="160" spans="1:1" x14ac:dyDescent="0.35">
      <c r="A160" t="s">
        <v>356</v>
      </c>
    </row>
    <row r="161" spans="1:1" x14ac:dyDescent="0.35">
      <c r="A161" t="s">
        <v>357</v>
      </c>
    </row>
    <row r="162" spans="1:1" x14ac:dyDescent="0.35">
      <c r="A162" t="s">
        <v>358</v>
      </c>
    </row>
    <row r="163" spans="1:1" x14ac:dyDescent="0.35">
      <c r="A163" t="s">
        <v>359</v>
      </c>
    </row>
    <row r="164" spans="1:1" x14ac:dyDescent="0.35">
      <c r="A164" t="s">
        <v>360</v>
      </c>
    </row>
    <row r="165" spans="1:1" x14ac:dyDescent="0.35">
      <c r="A165" t="s">
        <v>361</v>
      </c>
    </row>
    <row r="166" spans="1:1" x14ac:dyDescent="0.35">
      <c r="A166" t="s">
        <v>362</v>
      </c>
    </row>
    <row r="167" spans="1:1" x14ac:dyDescent="0.35">
      <c r="A167" t="s">
        <v>363</v>
      </c>
    </row>
    <row r="168" spans="1:1" x14ac:dyDescent="0.35">
      <c r="A168" t="s">
        <v>364</v>
      </c>
    </row>
    <row r="169" spans="1:1" x14ac:dyDescent="0.35">
      <c r="A169" t="s">
        <v>365</v>
      </c>
    </row>
    <row r="170" spans="1:1" x14ac:dyDescent="0.35">
      <c r="A170" t="s">
        <v>366</v>
      </c>
    </row>
    <row r="171" spans="1:1" x14ac:dyDescent="0.35">
      <c r="A171" t="s">
        <v>367</v>
      </c>
    </row>
    <row r="172" spans="1:1" x14ac:dyDescent="0.35">
      <c r="A172" t="s">
        <v>368</v>
      </c>
    </row>
    <row r="173" spans="1:1" x14ac:dyDescent="0.35">
      <c r="A173" t="s">
        <v>369</v>
      </c>
    </row>
    <row r="174" spans="1:1" x14ac:dyDescent="0.35">
      <c r="A174" t="s">
        <v>370</v>
      </c>
    </row>
    <row r="175" spans="1:1" x14ac:dyDescent="0.35">
      <c r="A175" t="s">
        <v>371</v>
      </c>
    </row>
    <row r="176" spans="1:1" x14ac:dyDescent="0.35">
      <c r="A176" t="s">
        <v>372</v>
      </c>
    </row>
    <row r="177" spans="1:1" x14ac:dyDescent="0.35">
      <c r="A177" t="s">
        <v>373</v>
      </c>
    </row>
    <row r="178" spans="1:1" x14ac:dyDescent="0.35">
      <c r="A178" t="s">
        <v>374</v>
      </c>
    </row>
    <row r="179" spans="1:1" x14ac:dyDescent="0.35">
      <c r="A179" t="s">
        <v>375</v>
      </c>
    </row>
    <row r="180" spans="1:1" x14ac:dyDescent="0.35">
      <c r="A180" t="s">
        <v>376</v>
      </c>
    </row>
    <row r="181" spans="1:1" x14ac:dyDescent="0.35">
      <c r="A181" t="s">
        <v>377</v>
      </c>
    </row>
    <row r="182" spans="1:1" x14ac:dyDescent="0.35">
      <c r="A182" t="s">
        <v>378</v>
      </c>
    </row>
    <row r="183" spans="1:1" x14ac:dyDescent="0.35">
      <c r="A183" t="s">
        <v>379</v>
      </c>
    </row>
    <row r="184" spans="1:1" x14ac:dyDescent="0.35">
      <c r="A184" t="s">
        <v>380</v>
      </c>
    </row>
    <row r="185" spans="1:1" x14ac:dyDescent="0.35">
      <c r="A185" t="s">
        <v>381</v>
      </c>
    </row>
    <row r="186" spans="1:1" x14ac:dyDescent="0.35">
      <c r="A186" t="s">
        <v>382</v>
      </c>
    </row>
    <row r="187" spans="1:1" x14ac:dyDescent="0.35">
      <c r="A187" t="s">
        <v>383</v>
      </c>
    </row>
    <row r="188" spans="1:1" x14ac:dyDescent="0.35">
      <c r="A188" t="s">
        <v>384</v>
      </c>
    </row>
    <row r="189" spans="1:1" x14ac:dyDescent="0.35">
      <c r="A189" t="s">
        <v>385</v>
      </c>
    </row>
    <row r="190" spans="1:1" x14ac:dyDescent="0.35">
      <c r="A190" t="s">
        <v>386</v>
      </c>
    </row>
    <row r="191" spans="1:1" x14ac:dyDescent="0.35">
      <c r="A191" t="s">
        <v>387</v>
      </c>
    </row>
    <row r="192" spans="1:1" x14ac:dyDescent="0.35">
      <c r="A192" t="s">
        <v>388</v>
      </c>
    </row>
    <row r="193" spans="1:1" x14ac:dyDescent="0.35">
      <c r="A193" t="s">
        <v>389</v>
      </c>
    </row>
    <row r="194" spans="1:1" x14ac:dyDescent="0.35">
      <c r="A194" t="s">
        <v>390</v>
      </c>
    </row>
    <row r="195" spans="1:1" x14ac:dyDescent="0.35">
      <c r="A195" t="s">
        <v>391</v>
      </c>
    </row>
    <row r="196" spans="1:1" x14ac:dyDescent="0.35">
      <c r="A196" t="s">
        <v>392</v>
      </c>
    </row>
    <row r="197" spans="1:1" x14ac:dyDescent="0.35">
      <c r="A197" t="s">
        <v>393</v>
      </c>
    </row>
    <row r="198" spans="1:1" x14ac:dyDescent="0.35">
      <c r="A198" t="s">
        <v>394</v>
      </c>
    </row>
    <row r="199" spans="1:1" x14ac:dyDescent="0.35">
      <c r="A199" t="s">
        <v>395</v>
      </c>
    </row>
    <row r="200" spans="1:1" x14ac:dyDescent="0.35">
      <c r="A200" t="s">
        <v>396</v>
      </c>
    </row>
    <row r="201" spans="1:1" x14ac:dyDescent="0.35">
      <c r="A201" t="s">
        <v>397</v>
      </c>
    </row>
    <row r="202" spans="1:1" x14ac:dyDescent="0.35">
      <c r="A202" t="s">
        <v>398</v>
      </c>
    </row>
    <row r="203" spans="1:1" x14ac:dyDescent="0.35">
      <c r="A203" t="s">
        <v>399</v>
      </c>
    </row>
    <row r="204" spans="1:1" x14ac:dyDescent="0.35">
      <c r="A204" t="s">
        <v>400</v>
      </c>
    </row>
    <row r="205" spans="1:1" x14ac:dyDescent="0.35">
      <c r="A205" t="s">
        <v>401</v>
      </c>
    </row>
    <row r="206" spans="1:1" x14ac:dyDescent="0.35">
      <c r="A206" t="s">
        <v>402</v>
      </c>
    </row>
    <row r="207" spans="1:1" x14ac:dyDescent="0.35">
      <c r="A207" t="s">
        <v>403</v>
      </c>
    </row>
    <row r="208" spans="1:1" x14ac:dyDescent="0.35">
      <c r="A208" t="s">
        <v>404</v>
      </c>
    </row>
    <row r="209" spans="1:1" x14ac:dyDescent="0.35">
      <c r="A209" t="s">
        <v>405</v>
      </c>
    </row>
    <row r="210" spans="1:1" x14ac:dyDescent="0.35">
      <c r="A210" t="s">
        <v>406</v>
      </c>
    </row>
    <row r="211" spans="1:1" x14ac:dyDescent="0.35">
      <c r="A211" t="s">
        <v>407</v>
      </c>
    </row>
    <row r="212" spans="1:1" x14ac:dyDescent="0.35">
      <c r="A212" t="s">
        <v>408</v>
      </c>
    </row>
    <row r="213" spans="1:1" x14ac:dyDescent="0.35">
      <c r="A213" t="s">
        <v>409</v>
      </c>
    </row>
    <row r="214" spans="1:1" x14ac:dyDescent="0.35">
      <c r="A214" t="s">
        <v>410</v>
      </c>
    </row>
    <row r="215" spans="1:1" x14ac:dyDescent="0.35">
      <c r="A215" t="s">
        <v>411</v>
      </c>
    </row>
    <row r="216" spans="1:1" x14ac:dyDescent="0.35">
      <c r="A216" t="s">
        <v>412</v>
      </c>
    </row>
    <row r="217" spans="1:1" x14ac:dyDescent="0.35">
      <c r="A217" t="s">
        <v>413</v>
      </c>
    </row>
    <row r="218" spans="1:1" x14ac:dyDescent="0.35">
      <c r="A218" t="s">
        <v>414</v>
      </c>
    </row>
    <row r="219" spans="1:1" x14ac:dyDescent="0.35">
      <c r="A219" t="s">
        <v>415</v>
      </c>
    </row>
    <row r="220" spans="1:1" x14ac:dyDescent="0.35">
      <c r="A220" t="s">
        <v>416</v>
      </c>
    </row>
    <row r="221" spans="1:1" x14ac:dyDescent="0.35">
      <c r="A221" t="s">
        <v>417</v>
      </c>
    </row>
    <row r="222" spans="1:1" x14ac:dyDescent="0.35">
      <c r="A222" t="s">
        <v>418</v>
      </c>
    </row>
    <row r="223" spans="1:1" x14ac:dyDescent="0.35">
      <c r="A223" t="s">
        <v>419</v>
      </c>
    </row>
    <row r="224" spans="1:1" x14ac:dyDescent="0.35">
      <c r="A224" t="s">
        <v>420</v>
      </c>
    </row>
    <row r="225" spans="1:1" x14ac:dyDescent="0.35">
      <c r="A225" t="s">
        <v>421</v>
      </c>
    </row>
    <row r="226" spans="1:1" x14ac:dyDescent="0.35">
      <c r="A226" t="s">
        <v>422</v>
      </c>
    </row>
    <row r="227" spans="1:1" x14ac:dyDescent="0.35">
      <c r="A227" t="s">
        <v>423</v>
      </c>
    </row>
    <row r="228" spans="1:1" x14ac:dyDescent="0.35">
      <c r="A228" t="s">
        <v>424</v>
      </c>
    </row>
    <row r="229" spans="1:1" x14ac:dyDescent="0.35">
      <c r="A229" t="s">
        <v>425</v>
      </c>
    </row>
    <row r="230" spans="1:1" x14ac:dyDescent="0.35">
      <c r="A230" t="s">
        <v>426</v>
      </c>
    </row>
    <row r="231" spans="1:1" x14ac:dyDescent="0.35">
      <c r="A231" t="s">
        <v>427</v>
      </c>
    </row>
    <row r="232" spans="1:1" x14ac:dyDescent="0.35">
      <c r="A232" t="s">
        <v>428</v>
      </c>
    </row>
    <row r="233" spans="1:1" x14ac:dyDescent="0.35">
      <c r="A233" t="s">
        <v>429</v>
      </c>
    </row>
    <row r="234" spans="1:1" x14ac:dyDescent="0.35">
      <c r="A234" t="s">
        <v>430</v>
      </c>
    </row>
    <row r="235" spans="1:1" x14ac:dyDescent="0.35">
      <c r="A235" t="s">
        <v>431</v>
      </c>
    </row>
    <row r="236" spans="1:1" x14ac:dyDescent="0.35">
      <c r="A236" t="s">
        <v>432</v>
      </c>
    </row>
    <row r="237" spans="1:1" x14ac:dyDescent="0.35">
      <c r="A237" t="s">
        <v>433</v>
      </c>
    </row>
    <row r="238" spans="1:1" x14ac:dyDescent="0.35">
      <c r="A238" t="s">
        <v>434</v>
      </c>
    </row>
    <row r="239" spans="1:1" x14ac:dyDescent="0.35">
      <c r="A239" t="s">
        <v>435</v>
      </c>
    </row>
    <row r="240" spans="1:1" x14ac:dyDescent="0.35">
      <c r="A240" t="s">
        <v>436</v>
      </c>
    </row>
    <row r="241" spans="1:1" x14ac:dyDescent="0.35">
      <c r="A241" t="s">
        <v>437</v>
      </c>
    </row>
    <row r="242" spans="1:1" x14ac:dyDescent="0.35">
      <c r="A242" t="s">
        <v>438</v>
      </c>
    </row>
    <row r="243" spans="1:1" x14ac:dyDescent="0.35">
      <c r="A243" t="s">
        <v>439</v>
      </c>
    </row>
    <row r="244" spans="1:1" x14ac:dyDescent="0.35">
      <c r="A244" t="s">
        <v>440</v>
      </c>
    </row>
    <row r="245" spans="1:1" x14ac:dyDescent="0.35">
      <c r="A245" t="s">
        <v>441</v>
      </c>
    </row>
    <row r="246" spans="1:1" x14ac:dyDescent="0.35">
      <c r="A246" t="s">
        <v>442</v>
      </c>
    </row>
    <row r="247" spans="1:1" x14ac:dyDescent="0.35">
      <c r="A247" t="s">
        <v>443</v>
      </c>
    </row>
    <row r="248" spans="1:1" x14ac:dyDescent="0.35">
      <c r="A248" t="s">
        <v>444</v>
      </c>
    </row>
    <row r="249" spans="1:1" x14ac:dyDescent="0.35">
      <c r="A249" t="s">
        <v>445</v>
      </c>
    </row>
    <row r="250" spans="1:1" x14ac:dyDescent="0.35">
      <c r="A250" t="s">
        <v>446</v>
      </c>
    </row>
    <row r="251" spans="1:1" x14ac:dyDescent="0.35">
      <c r="A251" t="s">
        <v>447</v>
      </c>
    </row>
    <row r="252" spans="1:1" x14ac:dyDescent="0.35">
      <c r="A252" t="s">
        <v>448</v>
      </c>
    </row>
    <row r="253" spans="1:1" x14ac:dyDescent="0.35">
      <c r="A253" t="s">
        <v>449</v>
      </c>
    </row>
    <row r="254" spans="1:1" x14ac:dyDescent="0.35">
      <c r="A254" t="s">
        <v>450</v>
      </c>
    </row>
    <row r="255" spans="1:1" x14ac:dyDescent="0.35">
      <c r="A255" t="s">
        <v>451</v>
      </c>
    </row>
    <row r="256" spans="1:1" x14ac:dyDescent="0.35">
      <c r="A256" t="s">
        <v>452</v>
      </c>
    </row>
    <row r="257" spans="1:1" x14ac:dyDescent="0.35">
      <c r="A257" t="s">
        <v>453</v>
      </c>
    </row>
    <row r="258" spans="1:1" x14ac:dyDescent="0.35">
      <c r="A258" t="s">
        <v>454</v>
      </c>
    </row>
    <row r="259" spans="1:1" x14ac:dyDescent="0.35">
      <c r="A259" t="s">
        <v>455</v>
      </c>
    </row>
    <row r="260" spans="1:1" x14ac:dyDescent="0.35">
      <c r="A260" t="s">
        <v>456</v>
      </c>
    </row>
    <row r="261" spans="1:1" x14ac:dyDescent="0.35">
      <c r="A261" t="s">
        <v>457</v>
      </c>
    </row>
    <row r="262" spans="1:1" x14ac:dyDescent="0.35">
      <c r="A262" t="s">
        <v>458</v>
      </c>
    </row>
    <row r="263" spans="1:1" x14ac:dyDescent="0.35">
      <c r="A263" t="s">
        <v>459</v>
      </c>
    </row>
    <row r="264" spans="1:1" x14ac:dyDescent="0.35">
      <c r="A264" t="s">
        <v>460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869A8-1554-4643-8110-27F9C61780B8}">
  <dimension ref="A1:F276"/>
  <sheetViews>
    <sheetView tabSelected="1" workbookViewId="0">
      <selection activeCell="F6" sqref="F6"/>
    </sheetView>
  </sheetViews>
  <sheetFormatPr baseColWidth="10" defaultRowHeight="14.5" x14ac:dyDescent="0.35"/>
  <cols>
    <col min="6" max="6" width="153.81640625" bestFit="1" customWidth="1"/>
  </cols>
  <sheetData>
    <row r="1" spans="1:6" x14ac:dyDescent="0.35">
      <c r="A1" t="s">
        <v>461</v>
      </c>
      <c r="B1" t="s">
        <v>462</v>
      </c>
      <c r="C1" t="s">
        <v>463</v>
      </c>
      <c r="D1" t="s">
        <v>464</v>
      </c>
      <c r="E1" t="s">
        <v>492</v>
      </c>
      <c r="F1" t="s">
        <v>465</v>
      </c>
    </row>
    <row r="2" spans="1:6" x14ac:dyDescent="0.35">
      <c r="A2" t="s">
        <v>466</v>
      </c>
      <c r="B2">
        <v>1</v>
      </c>
      <c r="C2" t="s">
        <v>469</v>
      </c>
      <c r="D2" t="s">
        <v>468</v>
      </c>
      <c r="E2" t="s">
        <v>467</v>
      </c>
      <c r="F2" s="1" t="s">
        <v>198</v>
      </c>
    </row>
    <row r="3" spans="1:6" x14ac:dyDescent="0.35">
      <c r="A3" t="s">
        <v>466</v>
      </c>
      <c r="B3" t="str">
        <f>IF(F3&lt;&gt;"",LEFT(F3,SEARCH(".",F3)-1),"")</f>
        <v>1</v>
      </c>
      <c r="C3" t="str">
        <f>IF(F3&lt;&gt;"",LEFT(F3,SEARCH("-",F3)-1),"")</f>
        <v>1.1</v>
      </c>
      <c r="D3" t="str">
        <f>IF(E3&lt;&gt;"",LEFT(E3,LEN(E3)-2),"")</f>
        <v>1.1-1</v>
      </c>
      <c r="E3" t="str">
        <f>IF(F3&lt;&gt;"",TRIM(LEFT(F3,SEARCH(":",F3)-1)),"")</f>
        <v>1.1-1.2</v>
      </c>
      <c r="F3" s="1" t="s">
        <v>199</v>
      </c>
    </row>
    <row r="4" spans="1:6" x14ac:dyDescent="0.35">
      <c r="A4" t="s">
        <v>466</v>
      </c>
      <c r="B4" t="str">
        <f>IF(F4&lt;&gt;"",LEFT(F4,SEARCH(".",F4)-1),"")</f>
        <v>1</v>
      </c>
      <c r="C4" t="str">
        <f>IF(F4&lt;&gt;"",LEFT(F4,SEARCH("-",F4)-1),"")</f>
        <v>1.1</v>
      </c>
      <c r="D4" t="str">
        <f>IF(E4&lt;&gt;"",LEFT(E4,LEN(E4)-2),"")</f>
        <v>1.1-1</v>
      </c>
      <c r="E4" t="str">
        <f>IF(F4&lt;&gt;"",TRIM(LEFT(F4,SEARCH(":",F4)-1)),"")</f>
        <v>1.1-1.3</v>
      </c>
      <c r="F4" s="1" t="s">
        <v>200</v>
      </c>
    </row>
    <row r="5" spans="1:6" x14ac:dyDescent="0.35">
      <c r="A5" t="s">
        <v>466</v>
      </c>
      <c r="B5" t="str">
        <f>IF(F5&lt;&gt;"",LEFT(F5,SEARCH(".",F5)-1),"")</f>
        <v>1</v>
      </c>
      <c r="C5" t="str">
        <f>IF(F5&lt;&gt;"",LEFT(F5,SEARCH("-",F5)-1),"")</f>
        <v>1.1</v>
      </c>
      <c r="D5" t="str">
        <f>IF(E5&lt;&gt;"",LEFT(E5,LEN(E5)-2),"")</f>
        <v>1.1-1</v>
      </c>
      <c r="E5" t="str">
        <f>IF(F5&lt;&gt;"",TRIM(LEFT(F5,SEARCH(":",F5)-1)),"")</f>
        <v>1.1-1.4</v>
      </c>
      <c r="F5" s="1" t="s">
        <v>201</v>
      </c>
    </row>
    <row r="6" spans="1:6" x14ac:dyDescent="0.35">
      <c r="A6" t="s">
        <v>466</v>
      </c>
      <c r="B6" t="str">
        <f>IF(F6&lt;&gt;"",LEFT(F6,SEARCH(".",F6)-1),"")</f>
        <v>1</v>
      </c>
      <c r="C6" t="str">
        <f>IF(F6&lt;&gt;"",LEFT(F6,SEARCH("-",F6)-1),"")</f>
        <v>1.1</v>
      </c>
      <c r="D6" t="str">
        <f>IF(E6&lt;&gt;"",LEFT(E6,LEN(E6)-2),"")</f>
        <v>1.1-2</v>
      </c>
      <c r="E6" t="str">
        <f>IF(F6&lt;&gt;"",TRIM(LEFT(F6,SEARCH(":",F6)-1)),"")</f>
        <v>1.1-2.1</v>
      </c>
      <c r="F6" s="1" t="s">
        <v>202</v>
      </c>
    </row>
    <row r="7" spans="1:6" x14ac:dyDescent="0.35">
      <c r="A7" t="s">
        <v>466</v>
      </c>
      <c r="B7" t="str">
        <f>IF(F7&lt;&gt;"",LEFT(F7,SEARCH(".",F7)-1),"")</f>
        <v>1</v>
      </c>
      <c r="C7" t="str">
        <f>IF(F7&lt;&gt;"",LEFT(F7,SEARCH("-",F7)-1),"")</f>
        <v>1.1</v>
      </c>
      <c r="D7" t="str">
        <f>IF(E7&lt;&gt;"",LEFT(E7,LEN(E7)-2),"")</f>
        <v>1.1-2</v>
      </c>
      <c r="E7" t="str">
        <f>IF(F7&lt;&gt;"",TRIM(LEFT(F7,SEARCH(":",F7)-1)),"")</f>
        <v>1.1-2.2</v>
      </c>
      <c r="F7" s="1" t="s">
        <v>203</v>
      </c>
    </row>
    <row r="8" spans="1:6" x14ac:dyDescent="0.35">
      <c r="A8" t="s">
        <v>466</v>
      </c>
      <c r="B8" t="str">
        <f>IF(F8&lt;&gt;"",LEFT(F8,SEARCH(".",F8)-1),"")</f>
        <v>1</v>
      </c>
      <c r="C8" t="str">
        <f>IF(F8&lt;&gt;"",LEFT(F8,SEARCH("-",F8)-1),"")</f>
        <v>1.1</v>
      </c>
      <c r="D8" t="str">
        <f>IF(E8&lt;&gt;"",LEFT(E8,LEN(E8)-2),"")</f>
        <v>1.1-3</v>
      </c>
      <c r="E8" t="str">
        <f>IF(F8&lt;&gt;"",TRIM(LEFT(F8,SEARCH(":",F8)-1)),"")</f>
        <v>1.1-3.1</v>
      </c>
      <c r="F8" s="1" t="s">
        <v>204</v>
      </c>
    </row>
    <row r="9" spans="1:6" x14ac:dyDescent="0.35">
      <c r="A9" t="s">
        <v>466</v>
      </c>
      <c r="B9" t="str">
        <f>IF(F9&lt;&gt;"",LEFT(F9,SEARCH(".",F9)-1),"")</f>
        <v>1</v>
      </c>
      <c r="C9" t="str">
        <f>IF(F9&lt;&gt;"",LEFT(F9,SEARCH("-",F9)-1),"")</f>
        <v>1.1</v>
      </c>
      <c r="D9" t="str">
        <f>IF(E9&lt;&gt;"",LEFT(E9,LEN(E9)-2),"")</f>
        <v>1.1-4</v>
      </c>
      <c r="E9" t="str">
        <f>IF(F9&lt;&gt;"",TRIM(LEFT(F9,SEARCH(":",F9)-1)),"")</f>
        <v>1.1-4.1</v>
      </c>
      <c r="F9" s="1" t="s">
        <v>205</v>
      </c>
    </row>
    <row r="10" spans="1:6" x14ac:dyDescent="0.35">
      <c r="A10" t="s">
        <v>466</v>
      </c>
      <c r="B10" t="str">
        <f>IF(F10&lt;&gt;"",LEFT(F10,SEARCH(".",F10)-1),"")</f>
        <v>1</v>
      </c>
      <c r="C10" t="str">
        <f>IF(F10&lt;&gt;"",LEFT(F10,SEARCH("-",F10)-1),"")</f>
        <v>1.1</v>
      </c>
      <c r="D10" t="str">
        <f>IF(E10&lt;&gt;"",LEFT(E10,LEN(E10)-2),"")</f>
        <v>1.1-5</v>
      </c>
      <c r="E10" t="str">
        <f>IF(F10&lt;&gt;"",TRIM(LEFT(F10,SEARCH(":",F10)-1)),"")</f>
        <v>1.1-5.1</v>
      </c>
      <c r="F10" s="1" t="s">
        <v>206</v>
      </c>
    </row>
    <row r="11" spans="1:6" x14ac:dyDescent="0.35">
      <c r="A11" t="s">
        <v>466</v>
      </c>
      <c r="B11" t="str">
        <f>IF(F11&lt;&gt;"",LEFT(F11,SEARCH(".",F11)-1),"")</f>
        <v>1</v>
      </c>
      <c r="C11" t="str">
        <f>IF(F11&lt;&gt;"",LEFT(F11,SEARCH("-",F11)-1),"")</f>
        <v>1.1</v>
      </c>
      <c r="D11" t="str">
        <f>IF(E11&lt;&gt;"",LEFT(E11,LEN(E11)-2),"")</f>
        <v>1.1-5</v>
      </c>
      <c r="E11" t="str">
        <f>IF(F11&lt;&gt;"",TRIM(LEFT(F11,SEARCH(":",F11)-1)),"")</f>
        <v>1.1-5.2</v>
      </c>
      <c r="F11" s="1" t="s">
        <v>207</v>
      </c>
    </row>
    <row r="12" spans="1:6" x14ac:dyDescent="0.35">
      <c r="A12" t="s">
        <v>466</v>
      </c>
      <c r="B12" t="str">
        <f>IF(F12&lt;&gt;"",LEFT(F12,SEARCH(".",F12)-1),"")</f>
        <v>1</v>
      </c>
      <c r="C12" t="str">
        <f>IF(F12&lt;&gt;"",LEFT(F12,SEARCH("-",F12)-1),"")</f>
        <v>1.1</v>
      </c>
      <c r="D12" t="str">
        <f>IF(E12&lt;&gt;"",LEFT(E12,LEN(E12)-2),"")</f>
        <v>1.1-6</v>
      </c>
      <c r="E12" t="str">
        <f>IF(F12&lt;&gt;"",TRIM(LEFT(F12,SEARCH(":",F12)-1)),"")</f>
        <v>1.1-6.1</v>
      </c>
      <c r="F12" s="1" t="s">
        <v>208</v>
      </c>
    </row>
    <row r="13" spans="1:6" x14ac:dyDescent="0.35">
      <c r="A13" t="s">
        <v>466</v>
      </c>
      <c r="B13" t="str">
        <f>IF(F13&lt;&gt;"",LEFT(F13,SEARCH(".",F13)-1),"")</f>
        <v>1</v>
      </c>
      <c r="C13" t="str">
        <f>IF(F13&lt;&gt;"",LEFT(F13,SEARCH("-",F13)-1),"")</f>
        <v>1.1</v>
      </c>
      <c r="D13" t="str">
        <f>IF(E13&lt;&gt;"",LEFT(E13,LEN(E13)-2),"")</f>
        <v>1.1-6</v>
      </c>
      <c r="E13" t="str">
        <f>IF(F13&lt;&gt;"",TRIM(LEFT(F13,SEARCH(":",F13)-1)),"")</f>
        <v>1.1-6.2</v>
      </c>
      <c r="F13" s="1" t="s">
        <v>209</v>
      </c>
    </row>
    <row r="14" spans="1:6" x14ac:dyDescent="0.35">
      <c r="A14" t="s">
        <v>466</v>
      </c>
      <c r="B14" t="str">
        <f>IF(F14&lt;&gt;"",LEFT(F14,SEARCH(".",F14)-1),"")</f>
        <v>1</v>
      </c>
      <c r="C14" t="str">
        <f>IF(F14&lt;&gt;"",LEFT(F14,SEARCH("-",F14)-1),"")</f>
        <v>1.1</v>
      </c>
      <c r="D14" t="str">
        <f>IF(E14&lt;&gt;"",LEFT(E14,LEN(E14)-2),"")</f>
        <v>1.1-7</v>
      </c>
      <c r="E14" t="str">
        <f>IF(F14&lt;&gt;"",TRIM(LEFT(F14,SEARCH(":",F14)-1)),"")</f>
        <v>1.1-7.1</v>
      </c>
      <c r="F14" s="1" t="s">
        <v>210</v>
      </c>
    </row>
    <row r="15" spans="1:6" x14ac:dyDescent="0.35">
      <c r="A15" t="s">
        <v>466</v>
      </c>
      <c r="B15" t="str">
        <f>IF(F15&lt;&gt;"",LEFT(F15,SEARCH(".",F15)-1),"")</f>
        <v>1</v>
      </c>
      <c r="C15" t="str">
        <f>IF(F15&lt;&gt;"",LEFT(F15,SEARCH("-",F15)-1),"")</f>
        <v>1.1</v>
      </c>
      <c r="D15" t="str">
        <f>IF(E15&lt;&gt;"",LEFT(E15,LEN(E15)-2),"")</f>
        <v>1.1-9</v>
      </c>
      <c r="E15" t="str">
        <f>IF(F15&lt;&gt;"",TRIM(LEFT(F15,SEARCH(":",F15)-1)),"")</f>
        <v>1.1-9.1</v>
      </c>
      <c r="F15" s="1" t="s">
        <v>211</v>
      </c>
    </row>
    <row r="16" spans="1:6" x14ac:dyDescent="0.35">
      <c r="A16" t="s">
        <v>466</v>
      </c>
      <c r="B16" t="str">
        <f>IF(F16&lt;&gt;"",LEFT(F16,SEARCH(".",F16)-1),"")</f>
        <v>1</v>
      </c>
      <c r="C16" t="str">
        <f>IF(F16&lt;&gt;"",LEFT(F16,SEARCH("-",F16)-1),"")</f>
        <v>1.1</v>
      </c>
      <c r="D16" t="str">
        <f>IF(E16&lt;&gt;"",LEFT(E16,LEN(E16)-2),"")</f>
        <v>1.1-10</v>
      </c>
      <c r="E16" t="str">
        <f>IF(F16&lt;&gt;"",TRIM(LEFT(F16,SEARCH(":",F16)-1)),"")</f>
        <v>1.1-10.1</v>
      </c>
      <c r="F16" s="1" t="s">
        <v>212</v>
      </c>
    </row>
    <row r="17" spans="1:6" x14ac:dyDescent="0.35">
      <c r="A17" t="s">
        <v>466</v>
      </c>
      <c r="B17" t="str">
        <f>IF(F17&lt;&gt;"",LEFT(F17,SEARCH(".",F17)-1),"")</f>
        <v>1</v>
      </c>
      <c r="C17" t="str">
        <f>IF(F17&lt;&gt;"",LEFT(F17,SEARCH("-",F17)-1),"")</f>
        <v>1.1</v>
      </c>
      <c r="D17" t="str">
        <f>IF(E17&lt;&gt;"",LEFT(E17,LEN(E17)-2),"")</f>
        <v>1.1-11</v>
      </c>
      <c r="E17" t="str">
        <f>IF(F17&lt;&gt;"",TRIM(LEFT(F17,SEARCH(":",F17)-1)),"")</f>
        <v>1.1-11.1</v>
      </c>
      <c r="F17" s="1" t="s">
        <v>213</v>
      </c>
    </row>
    <row r="18" spans="1:6" x14ac:dyDescent="0.35">
      <c r="A18" t="s">
        <v>466</v>
      </c>
      <c r="B18" t="str">
        <f>IF(F18&lt;&gt;"",LEFT(F18,SEARCH(".",F18)-1),"")</f>
        <v>1</v>
      </c>
      <c r="C18" t="str">
        <f>IF(F18&lt;&gt;"",LEFT(F18,SEARCH("-",F18)-1),"")</f>
        <v>1.1</v>
      </c>
      <c r="D18" t="str">
        <f>IF(E18&lt;&gt;"",LEFT(E18,LEN(E18)-2),"")</f>
        <v>1.1-11</v>
      </c>
      <c r="E18" t="str">
        <f>IF(F18&lt;&gt;"",TRIM(LEFT(F18,SEARCH(":",F18)-1)),"")</f>
        <v>1.1-11.2</v>
      </c>
      <c r="F18" s="1" t="s">
        <v>214</v>
      </c>
    </row>
    <row r="19" spans="1:6" x14ac:dyDescent="0.35">
      <c r="A19" t="s">
        <v>466</v>
      </c>
      <c r="B19" t="str">
        <f>IF(F19&lt;&gt;"",LEFT(F19,SEARCH(".",F19)-1),"")</f>
        <v>1</v>
      </c>
      <c r="C19" t="str">
        <f>IF(F19&lt;&gt;"",LEFT(F19,SEARCH("-",F19)-1),"")</f>
        <v>1.1</v>
      </c>
      <c r="D19" t="str">
        <f>IF(E19&lt;&gt;"",LEFT(E19,LEN(E19)-2),"")</f>
        <v>1.1-11</v>
      </c>
      <c r="E19" t="str">
        <f>IF(F19&lt;&gt;"",TRIM(LEFT(F19,SEARCH(":",F19)-1)),"")</f>
        <v>1.1-11.3</v>
      </c>
      <c r="F19" s="1" t="s">
        <v>215</v>
      </c>
    </row>
    <row r="20" spans="1:6" x14ac:dyDescent="0.35">
      <c r="A20" t="s">
        <v>466</v>
      </c>
      <c r="B20" t="str">
        <f>IF(F20&lt;&gt;"",LEFT(F20,SEARCH(".",F20)-1),"")</f>
        <v>1</v>
      </c>
      <c r="C20" t="str">
        <f>IF(F20&lt;&gt;"",LEFT(F20,SEARCH("-",F20)-1),"")</f>
        <v>1.1</v>
      </c>
      <c r="D20" t="str">
        <f>IF(E20&lt;&gt;"",LEFT(E20,LEN(E20)-2),"")</f>
        <v>1.1-11</v>
      </c>
      <c r="E20" t="str">
        <f>IF(F20&lt;&gt;"",TRIM(LEFT(F20,SEARCH(":",F20)-1)),"")</f>
        <v>1.1-11.4</v>
      </c>
      <c r="F20" s="1" t="s">
        <v>216</v>
      </c>
    </row>
    <row r="21" spans="1:6" x14ac:dyDescent="0.35">
      <c r="A21" t="s">
        <v>470</v>
      </c>
      <c r="B21" t="str">
        <f t="shared" ref="B21:B42" si="0">IF(F21&lt;&gt;"",LEFT(F21,SEARCH(".",F21)-1),"")</f>
        <v>1</v>
      </c>
      <c r="C21" t="str">
        <f t="shared" ref="C21:C42" si="1">IF(F21&lt;&gt;"",LEFT(F21,SEARCH("-",F21)-1),"")</f>
        <v>1.2</v>
      </c>
      <c r="D21" t="str">
        <f t="shared" ref="D21:D84" si="2">IF(E21&lt;&gt;"",LEFT(E21,LEN(E21)-2),"")</f>
        <v>1.2-1</v>
      </c>
      <c r="E21" t="str">
        <f t="shared" ref="E21:E84" si="3">IF(F21&lt;&gt;"",TRIM(LEFT(F21,SEARCH(":",F21)-1)),"")</f>
        <v>1.2-1.1</v>
      </c>
      <c r="F21" s="2" t="s">
        <v>217</v>
      </c>
    </row>
    <row r="22" spans="1:6" x14ac:dyDescent="0.35">
      <c r="A22" t="s">
        <v>470</v>
      </c>
      <c r="B22" t="str">
        <f t="shared" si="0"/>
        <v>1</v>
      </c>
      <c r="C22" t="str">
        <f t="shared" si="1"/>
        <v>1.2</v>
      </c>
      <c r="D22" t="str">
        <f t="shared" si="2"/>
        <v>1.2-1</v>
      </c>
      <c r="E22" t="str">
        <f t="shared" si="3"/>
        <v>1.2-1.2</v>
      </c>
      <c r="F22" s="2" t="s">
        <v>218</v>
      </c>
    </row>
    <row r="23" spans="1:6" x14ac:dyDescent="0.35">
      <c r="A23" t="s">
        <v>470</v>
      </c>
      <c r="B23" t="str">
        <f t="shared" si="0"/>
        <v>1</v>
      </c>
      <c r="C23" t="str">
        <f t="shared" si="1"/>
        <v>1.2</v>
      </c>
      <c r="D23" t="str">
        <f t="shared" si="2"/>
        <v>1.2-1</v>
      </c>
      <c r="E23" t="str">
        <f t="shared" si="3"/>
        <v>1.2-1.3</v>
      </c>
      <c r="F23" s="2" t="s">
        <v>219</v>
      </c>
    </row>
    <row r="24" spans="1:6" x14ac:dyDescent="0.35">
      <c r="A24" t="s">
        <v>470</v>
      </c>
      <c r="B24" t="str">
        <f t="shared" si="0"/>
        <v>1</v>
      </c>
      <c r="C24" t="str">
        <f t="shared" si="1"/>
        <v>1.2</v>
      </c>
      <c r="D24" t="str">
        <f t="shared" si="2"/>
        <v>1.2-2</v>
      </c>
      <c r="E24" t="str">
        <f t="shared" si="3"/>
        <v>1.2-2.1</v>
      </c>
      <c r="F24" s="2" t="s">
        <v>220</v>
      </c>
    </row>
    <row r="25" spans="1:6" x14ac:dyDescent="0.35">
      <c r="A25" t="s">
        <v>470</v>
      </c>
      <c r="B25" t="str">
        <f t="shared" si="0"/>
        <v>1</v>
      </c>
      <c r="C25" t="str">
        <f t="shared" si="1"/>
        <v>1.2</v>
      </c>
      <c r="D25" t="str">
        <f t="shared" si="2"/>
        <v>1.2-3</v>
      </c>
      <c r="E25" t="str">
        <f t="shared" si="3"/>
        <v>1.2-3.1</v>
      </c>
      <c r="F25" s="2" t="s">
        <v>221</v>
      </c>
    </row>
    <row r="26" spans="1:6" x14ac:dyDescent="0.35">
      <c r="A26" t="s">
        <v>470</v>
      </c>
      <c r="B26" t="str">
        <f t="shared" si="0"/>
        <v>1</v>
      </c>
      <c r="C26" t="str">
        <f t="shared" si="1"/>
        <v>1.3</v>
      </c>
      <c r="D26" t="str">
        <f t="shared" si="2"/>
        <v>1.3-1</v>
      </c>
      <c r="E26" t="str">
        <f t="shared" si="3"/>
        <v>1.3-1.1</v>
      </c>
      <c r="F26" s="2" t="s">
        <v>222</v>
      </c>
    </row>
    <row r="27" spans="1:6" x14ac:dyDescent="0.35">
      <c r="A27" t="s">
        <v>470</v>
      </c>
      <c r="B27" t="str">
        <f t="shared" si="0"/>
        <v>1</v>
      </c>
      <c r="C27" t="str">
        <f t="shared" si="1"/>
        <v>1.3</v>
      </c>
      <c r="D27" t="str">
        <f t="shared" si="2"/>
        <v>1.3-1</v>
      </c>
      <c r="E27" t="str">
        <f t="shared" si="3"/>
        <v>1.3-1.2</v>
      </c>
      <c r="F27" s="2" t="s">
        <v>223</v>
      </c>
    </row>
    <row r="28" spans="1:6" x14ac:dyDescent="0.35">
      <c r="A28" t="s">
        <v>470</v>
      </c>
      <c r="B28" t="str">
        <f t="shared" si="0"/>
        <v>1</v>
      </c>
      <c r="C28" t="str">
        <f t="shared" si="1"/>
        <v>1.3</v>
      </c>
      <c r="D28" t="str">
        <f t="shared" si="2"/>
        <v>1.3-1</v>
      </c>
      <c r="E28" t="str">
        <f t="shared" si="3"/>
        <v>1.3-1.3</v>
      </c>
      <c r="F28" s="2" t="s">
        <v>224</v>
      </c>
    </row>
    <row r="29" spans="1:6" x14ac:dyDescent="0.35">
      <c r="A29" t="s">
        <v>470</v>
      </c>
      <c r="B29" t="str">
        <f t="shared" si="0"/>
        <v>1</v>
      </c>
      <c r="C29" t="str">
        <f t="shared" si="1"/>
        <v>1.3</v>
      </c>
      <c r="D29" t="str">
        <f t="shared" si="2"/>
        <v>1.3-1</v>
      </c>
      <c r="E29" t="str">
        <f t="shared" si="3"/>
        <v>1.3-1.4</v>
      </c>
      <c r="F29" s="2" t="s">
        <v>225</v>
      </c>
    </row>
    <row r="30" spans="1:6" x14ac:dyDescent="0.35">
      <c r="A30" t="s">
        <v>470</v>
      </c>
      <c r="B30" t="str">
        <f t="shared" si="0"/>
        <v>1</v>
      </c>
      <c r="C30" t="str">
        <f t="shared" si="1"/>
        <v>1.3</v>
      </c>
      <c r="D30" t="str">
        <f t="shared" si="2"/>
        <v>1.3-2</v>
      </c>
      <c r="E30" t="str">
        <f t="shared" si="3"/>
        <v>1.3-2.2</v>
      </c>
      <c r="F30" s="2" t="s">
        <v>226</v>
      </c>
    </row>
    <row r="31" spans="1:6" x14ac:dyDescent="0.35">
      <c r="A31" t="s">
        <v>470</v>
      </c>
      <c r="B31" t="str">
        <f t="shared" si="0"/>
        <v>1</v>
      </c>
      <c r="C31" t="str">
        <f t="shared" si="1"/>
        <v>1.3</v>
      </c>
      <c r="D31" t="str">
        <f t="shared" si="2"/>
        <v>1.3-2</v>
      </c>
      <c r="E31" t="str">
        <f t="shared" si="3"/>
        <v>1.3-2.3</v>
      </c>
      <c r="F31" s="2" t="s">
        <v>227</v>
      </c>
    </row>
    <row r="32" spans="1:6" x14ac:dyDescent="0.35">
      <c r="A32" t="s">
        <v>470</v>
      </c>
      <c r="B32" t="str">
        <f t="shared" si="0"/>
        <v>1</v>
      </c>
      <c r="C32" t="str">
        <f t="shared" si="1"/>
        <v>1.3</v>
      </c>
      <c r="D32" t="str">
        <f t="shared" si="2"/>
        <v>1.3-2</v>
      </c>
      <c r="E32" t="str">
        <f t="shared" si="3"/>
        <v>1.3-2.4</v>
      </c>
      <c r="F32" s="2" t="s">
        <v>228</v>
      </c>
    </row>
    <row r="33" spans="1:6" x14ac:dyDescent="0.35">
      <c r="A33" t="s">
        <v>470</v>
      </c>
      <c r="B33" t="str">
        <f t="shared" si="0"/>
        <v>1</v>
      </c>
      <c r="C33" t="str">
        <f t="shared" si="1"/>
        <v>1.3</v>
      </c>
      <c r="D33" t="str">
        <f t="shared" si="2"/>
        <v>1.3-2</v>
      </c>
      <c r="E33" t="str">
        <f t="shared" si="3"/>
        <v>1.3-2.5</v>
      </c>
      <c r="F33" s="2" t="s">
        <v>229</v>
      </c>
    </row>
    <row r="34" spans="1:6" x14ac:dyDescent="0.35">
      <c r="A34" t="s">
        <v>470</v>
      </c>
      <c r="B34" t="str">
        <f t="shared" si="0"/>
        <v>1</v>
      </c>
      <c r="C34" t="str">
        <f t="shared" si="1"/>
        <v>1.3</v>
      </c>
      <c r="D34" t="str">
        <f t="shared" si="2"/>
        <v>1.3-2</v>
      </c>
      <c r="E34" t="str">
        <f t="shared" si="3"/>
        <v>1.3-2.6</v>
      </c>
      <c r="F34" s="2" t="s">
        <v>230</v>
      </c>
    </row>
    <row r="35" spans="1:6" x14ac:dyDescent="0.35">
      <c r="A35" t="s">
        <v>470</v>
      </c>
      <c r="B35" t="str">
        <f t="shared" si="0"/>
        <v>1</v>
      </c>
      <c r="C35" t="str">
        <f t="shared" si="1"/>
        <v>1.3</v>
      </c>
      <c r="D35" t="str">
        <f t="shared" si="2"/>
        <v>1.3-2</v>
      </c>
      <c r="E35" t="str">
        <f t="shared" si="3"/>
        <v>1.3-2.7</v>
      </c>
      <c r="F35" s="2" t="s">
        <v>231</v>
      </c>
    </row>
    <row r="36" spans="1:6" x14ac:dyDescent="0.35">
      <c r="A36" t="s">
        <v>470</v>
      </c>
      <c r="B36" t="str">
        <f t="shared" si="0"/>
        <v>1</v>
      </c>
      <c r="C36" t="str">
        <f t="shared" si="1"/>
        <v>1.3</v>
      </c>
      <c r="D36" t="str">
        <f t="shared" si="2"/>
        <v>1.3-2</v>
      </c>
      <c r="E36" t="str">
        <f t="shared" si="3"/>
        <v>1.3-2.8</v>
      </c>
      <c r="F36" s="2" t="s">
        <v>232</v>
      </c>
    </row>
    <row r="37" spans="1:6" x14ac:dyDescent="0.35">
      <c r="A37" t="s">
        <v>470</v>
      </c>
      <c r="B37" t="str">
        <f t="shared" si="0"/>
        <v>1</v>
      </c>
      <c r="C37" t="str">
        <f t="shared" si="1"/>
        <v>1.3</v>
      </c>
      <c r="D37" t="str">
        <f t="shared" si="2"/>
        <v>1.3-2</v>
      </c>
      <c r="E37" t="str">
        <f t="shared" si="3"/>
        <v>1.3-2.9</v>
      </c>
      <c r="F37" s="2" t="s">
        <v>233</v>
      </c>
    </row>
    <row r="38" spans="1:6" x14ac:dyDescent="0.35">
      <c r="A38" t="s">
        <v>470</v>
      </c>
      <c r="B38" t="str">
        <f t="shared" si="0"/>
        <v>1</v>
      </c>
      <c r="C38" t="str">
        <f t="shared" si="1"/>
        <v>1.4</v>
      </c>
      <c r="D38" t="str">
        <f t="shared" si="2"/>
        <v>1.4-1</v>
      </c>
      <c r="E38" t="str">
        <f t="shared" si="3"/>
        <v>1.4-1.1</v>
      </c>
      <c r="F38" s="2" t="s">
        <v>234</v>
      </c>
    </row>
    <row r="39" spans="1:6" x14ac:dyDescent="0.35">
      <c r="A39" t="s">
        <v>470</v>
      </c>
      <c r="B39" t="str">
        <f t="shared" si="0"/>
        <v>1</v>
      </c>
      <c r="C39" t="str">
        <f t="shared" si="1"/>
        <v>1.4</v>
      </c>
      <c r="D39" t="str">
        <f t="shared" si="2"/>
        <v>1.4-1</v>
      </c>
      <c r="E39" t="str">
        <f t="shared" si="3"/>
        <v>1.4-1.2</v>
      </c>
      <c r="F39" s="2" t="s">
        <v>235</v>
      </c>
    </row>
    <row r="40" spans="1:6" x14ac:dyDescent="0.35">
      <c r="A40" t="s">
        <v>470</v>
      </c>
      <c r="B40" t="str">
        <f t="shared" si="0"/>
        <v>1</v>
      </c>
      <c r="C40" t="str">
        <f t="shared" si="1"/>
        <v>1.4</v>
      </c>
      <c r="D40" t="str">
        <f t="shared" si="2"/>
        <v>1.4-1</v>
      </c>
      <c r="E40" t="str">
        <f t="shared" si="3"/>
        <v>1.4-1.3</v>
      </c>
      <c r="F40" s="2" t="s">
        <v>236</v>
      </c>
    </row>
    <row r="41" spans="1:6" x14ac:dyDescent="0.35">
      <c r="A41" t="s">
        <v>470</v>
      </c>
      <c r="B41" t="str">
        <f t="shared" si="0"/>
        <v>1</v>
      </c>
      <c r="C41" t="str">
        <f t="shared" si="1"/>
        <v>1.4</v>
      </c>
      <c r="D41" t="str">
        <f t="shared" si="2"/>
        <v>1.4-1</v>
      </c>
      <c r="E41" t="str">
        <f t="shared" si="3"/>
        <v>1.4-1.4</v>
      </c>
      <c r="F41" s="2" t="s">
        <v>237</v>
      </c>
    </row>
    <row r="42" spans="1:6" x14ac:dyDescent="0.35">
      <c r="A42" t="s">
        <v>470</v>
      </c>
      <c r="B42" t="str">
        <f t="shared" si="0"/>
        <v>1</v>
      </c>
      <c r="C42" t="str">
        <f t="shared" si="1"/>
        <v>1.5</v>
      </c>
      <c r="D42" t="str">
        <f t="shared" si="2"/>
        <v>1.5-1</v>
      </c>
      <c r="E42" t="str">
        <f t="shared" si="3"/>
        <v>1.5-1.1</v>
      </c>
      <c r="F42" s="2" t="s">
        <v>238</v>
      </c>
    </row>
    <row r="43" spans="1:6" x14ac:dyDescent="0.35">
      <c r="A43" t="s">
        <v>472</v>
      </c>
      <c r="B43" t="str">
        <f t="shared" ref="B43:B86" si="4">IF(F43&lt;&gt;"",LEFT(F43,SEARCH(".",F43)-1),"")</f>
        <v>1</v>
      </c>
      <c r="C43" t="str">
        <f t="shared" ref="C43:C86" si="5">IF(F43&lt;&gt;"",LEFT(F43,SEARCH("-",F43)-1),"")</f>
        <v>1.7</v>
      </c>
      <c r="D43" t="str">
        <f t="shared" si="2"/>
        <v>1.7-1</v>
      </c>
      <c r="E43" t="str">
        <f t="shared" si="3"/>
        <v>1.7-1.1</v>
      </c>
      <c r="F43" s="3" t="s">
        <v>239</v>
      </c>
    </row>
    <row r="44" spans="1:6" x14ac:dyDescent="0.35">
      <c r="A44" t="s">
        <v>472</v>
      </c>
      <c r="B44" t="str">
        <f t="shared" si="4"/>
        <v>1</v>
      </c>
      <c r="C44" t="str">
        <f t="shared" si="5"/>
        <v>1.7</v>
      </c>
      <c r="D44" t="str">
        <f t="shared" si="2"/>
        <v>1.7-1</v>
      </c>
      <c r="E44" t="str">
        <f t="shared" si="3"/>
        <v>1.7-1.2</v>
      </c>
      <c r="F44" s="3" t="s">
        <v>240</v>
      </c>
    </row>
    <row r="45" spans="1:6" x14ac:dyDescent="0.35">
      <c r="A45" t="s">
        <v>472</v>
      </c>
      <c r="B45" t="str">
        <f t="shared" si="4"/>
        <v>1</v>
      </c>
      <c r="C45" t="str">
        <f t="shared" si="5"/>
        <v>1.7</v>
      </c>
      <c r="D45" t="str">
        <f t="shared" si="2"/>
        <v>1.7-2</v>
      </c>
      <c r="E45" t="str">
        <f t="shared" si="3"/>
        <v>1.7-2.1</v>
      </c>
      <c r="F45" s="3" t="s">
        <v>241</v>
      </c>
    </row>
    <row r="46" spans="1:6" x14ac:dyDescent="0.35">
      <c r="A46" t="s">
        <v>472</v>
      </c>
      <c r="B46" t="str">
        <f t="shared" si="4"/>
        <v>1</v>
      </c>
      <c r="C46" t="str">
        <f t="shared" si="5"/>
        <v>1.7</v>
      </c>
      <c r="D46" t="str">
        <f t="shared" si="2"/>
        <v>1.7-2</v>
      </c>
      <c r="E46" t="str">
        <f t="shared" si="3"/>
        <v>1.7-2.2</v>
      </c>
      <c r="F46" s="3" t="s">
        <v>242</v>
      </c>
    </row>
    <row r="47" spans="1:6" x14ac:dyDescent="0.35">
      <c r="A47" t="s">
        <v>472</v>
      </c>
      <c r="B47" t="str">
        <f t="shared" si="4"/>
        <v>1</v>
      </c>
      <c r="C47" t="str">
        <f t="shared" si="5"/>
        <v>1.7</v>
      </c>
      <c r="D47" t="str">
        <f t="shared" si="2"/>
        <v>1.7-2</v>
      </c>
      <c r="E47" t="str">
        <f t="shared" si="3"/>
        <v>1.7-2.3</v>
      </c>
      <c r="F47" s="3" t="s">
        <v>243</v>
      </c>
    </row>
    <row r="48" spans="1:6" x14ac:dyDescent="0.35">
      <c r="A48" t="s">
        <v>472</v>
      </c>
      <c r="B48" t="str">
        <f t="shared" si="4"/>
        <v>1</v>
      </c>
      <c r="C48" t="str">
        <f t="shared" si="5"/>
        <v>1.7</v>
      </c>
      <c r="D48" t="str">
        <f t="shared" si="2"/>
        <v>1.7-3</v>
      </c>
      <c r="E48" t="str">
        <f t="shared" si="3"/>
        <v>1.7-3.1</v>
      </c>
      <c r="F48" s="3" t="s">
        <v>244</v>
      </c>
    </row>
    <row r="49" spans="1:6" x14ac:dyDescent="0.35">
      <c r="A49" t="s">
        <v>472</v>
      </c>
      <c r="B49" t="str">
        <f t="shared" si="4"/>
        <v>1</v>
      </c>
      <c r="C49" t="str">
        <f t="shared" si="5"/>
        <v>1.7</v>
      </c>
      <c r="D49" t="str">
        <f t="shared" si="2"/>
        <v>1.7-3</v>
      </c>
      <c r="E49" t="str">
        <f t="shared" si="3"/>
        <v>1.7-3.2</v>
      </c>
      <c r="F49" s="3" t="s">
        <v>245</v>
      </c>
    </row>
    <row r="50" spans="1:6" x14ac:dyDescent="0.35">
      <c r="A50" t="s">
        <v>472</v>
      </c>
      <c r="B50" t="str">
        <f t="shared" si="4"/>
        <v>1</v>
      </c>
      <c r="C50" t="str">
        <f t="shared" si="5"/>
        <v>1.7</v>
      </c>
      <c r="D50" t="str">
        <f t="shared" si="2"/>
        <v>1.7-3</v>
      </c>
      <c r="E50" t="str">
        <f t="shared" si="3"/>
        <v>1.7-3.3</v>
      </c>
      <c r="F50" s="3" t="s">
        <v>246</v>
      </c>
    </row>
    <row r="51" spans="1:6" x14ac:dyDescent="0.35">
      <c r="A51" t="s">
        <v>472</v>
      </c>
      <c r="B51" t="str">
        <f t="shared" si="4"/>
        <v>1</v>
      </c>
      <c r="C51" t="str">
        <f t="shared" si="5"/>
        <v>1.7</v>
      </c>
      <c r="D51" t="str">
        <f t="shared" si="2"/>
        <v>1.7-3</v>
      </c>
      <c r="E51" t="str">
        <f t="shared" si="3"/>
        <v>1.7-3.4</v>
      </c>
      <c r="F51" s="3" t="s">
        <v>247</v>
      </c>
    </row>
    <row r="52" spans="1:6" x14ac:dyDescent="0.35">
      <c r="A52" t="s">
        <v>472</v>
      </c>
      <c r="B52" t="str">
        <f t="shared" si="4"/>
        <v>1</v>
      </c>
      <c r="C52" t="str">
        <f t="shared" si="5"/>
        <v>1.7</v>
      </c>
      <c r="D52" t="str">
        <f t="shared" si="2"/>
        <v>1.7-3</v>
      </c>
      <c r="E52" t="str">
        <f t="shared" si="3"/>
        <v>1.7-3.5</v>
      </c>
      <c r="F52" s="3" t="s">
        <v>248</v>
      </c>
    </row>
    <row r="53" spans="1:6" x14ac:dyDescent="0.35">
      <c r="A53" t="s">
        <v>472</v>
      </c>
      <c r="B53" t="str">
        <f t="shared" si="4"/>
        <v>1</v>
      </c>
      <c r="C53" t="str">
        <f t="shared" si="5"/>
        <v>1.7</v>
      </c>
      <c r="D53" t="str">
        <f t="shared" si="2"/>
        <v>1.7-3</v>
      </c>
      <c r="E53" t="str">
        <f t="shared" si="3"/>
        <v>1.7-3.6</v>
      </c>
      <c r="F53" s="3" t="s">
        <v>249</v>
      </c>
    </row>
    <row r="54" spans="1:6" x14ac:dyDescent="0.35">
      <c r="A54" t="s">
        <v>472</v>
      </c>
      <c r="B54" t="str">
        <f t="shared" si="4"/>
        <v>1</v>
      </c>
      <c r="C54" t="str">
        <f t="shared" si="5"/>
        <v>1.7</v>
      </c>
      <c r="D54" t="str">
        <f t="shared" si="2"/>
        <v>1.7-3</v>
      </c>
      <c r="E54" t="str">
        <f t="shared" si="3"/>
        <v>1.7-3.7</v>
      </c>
      <c r="F54" s="3" t="s">
        <v>250</v>
      </c>
    </row>
    <row r="55" spans="1:6" x14ac:dyDescent="0.35">
      <c r="A55" t="s">
        <v>472</v>
      </c>
      <c r="B55" t="str">
        <f t="shared" si="4"/>
        <v>1</v>
      </c>
      <c r="C55" t="str">
        <f t="shared" si="5"/>
        <v>1.7</v>
      </c>
      <c r="D55" t="str">
        <f t="shared" si="2"/>
        <v>1.7-3</v>
      </c>
      <c r="E55" t="str">
        <f t="shared" si="3"/>
        <v>1.7-3.8</v>
      </c>
      <c r="F55" s="3" t="s">
        <v>251</v>
      </c>
    </row>
    <row r="56" spans="1:6" x14ac:dyDescent="0.35">
      <c r="A56" t="s">
        <v>472</v>
      </c>
      <c r="B56" t="str">
        <f t="shared" si="4"/>
        <v>1</v>
      </c>
      <c r="C56" t="str">
        <f t="shared" si="5"/>
        <v>1.7</v>
      </c>
      <c r="D56" t="str">
        <f t="shared" si="2"/>
        <v>1.7-3</v>
      </c>
      <c r="E56" t="str">
        <f t="shared" si="3"/>
        <v>1.7-3.9</v>
      </c>
      <c r="F56" s="3" t="s">
        <v>252</v>
      </c>
    </row>
    <row r="57" spans="1:6" x14ac:dyDescent="0.35">
      <c r="A57" t="s">
        <v>472</v>
      </c>
      <c r="B57" t="str">
        <f t="shared" si="4"/>
        <v>1</v>
      </c>
      <c r="C57" t="str">
        <f t="shared" si="5"/>
        <v>1.7</v>
      </c>
      <c r="D57" t="str">
        <f t="shared" si="2"/>
        <v>1.7-3.</v>
      </c>
      <c r="E57" t="str">
        <f t="shared" si="3"/>
        <v>1.7-3.10</v>
      </c>
      <c r="F57" s="3" t="s">
        <v>253</v>
      </c>
    </row>
    <row r="58" spans="1:6" x14ac:dyDescent="0.35">
      <c r="A58" t="s">
        <v>472</v>
      </c>
      <c r="B58" t="str">
        <f t="shared" si="4"/>
        <v>1</v>
      </c>
      <c r="C58" t="str">
        <f t="shared" si="5"/>
        <v>1.7</v>
      </c>
      <c r="D58" t="str">
        <f t="shared" si="2"/>
        <v>1.7-3.</v>
      </c>
      <c r="E58" t="str">
        <f t="shared" si="3"/>
        <v>1.7-3.11</v>
      </c>
      <c r="F58" s="3" t="s">
        <v>254</v>
      </c>
    </row>
    <row r="59" spans="1:6" x14ac:dyDescent="0.35">
      <c r="A59" t="s">
        <v>472</v>
      </c>
      <c r="B59" t="str">
        <f t="shared" si="4"/>
        <v>1</v>
      </c>
      <c r="C59" t="str">
        <f t="shared" si="5"/>
        <v>1.7</v>
      </c>
      <c r="D59" t="str">
        <f t="shared" si="2"/>
        <v>1.7-4</v>
      </c>
      <c r="E59" t="str">
        <f t="shared" si="3"/>
        <v>1.7-4.1</v>
      </c>
      <c r="F59" s="3" t="s">
        <v>255</v>
      </c>
    </row>
    <row r="60" spans="1:6" x14ac:dyDescent="0.35">
      <c r="A60" t="s">
        <v>472</v>
      </c>
      <c r="B60" t="str">
        <f t="shared" si="4"/>
        <v>1</v>
      </c>
      <c r="C60" t="str">
        <f t="shared" si="5"/>
        <v>1.7</v>
      </c>
      <c r="D60" t="str">
        <f t="shared" si="2"/>
        <v>1.7-4</v>
      </c>
      <c r="E60" t="str">
        <f t="shared" si="3"/>
        <v>1.7-4.2</v>
      </c>
      <c r="F60" s="3" t="s">
        <v>256</v>
      </c>
    </row>
    <row r="61" spans="1:6" x14ac:dyDescent="0.35">
      <c r="A61" t="s">
        <v>472</v>
      </c>
      <c r="B61" t="str">
        <f t="shared" si="4"/>
        <v>1</v>
      </c>
      <c r="C61" t="str">
        <f t="shared" si="5"/>
        <v>1.7</v>
      </c>
      <c r="D61" t="str">
        <f t="shared" si="2"/>
        <v>1.7-5</v>
      </c>
      <c r="E61" t="str">
        <f t="shared" si="3"/>
        <v>1.7-5.1</v>
      </c>
      <c r="F61" s="3" t="s">
        <v>257</v>
      </c>
    </row>
    <row r="62" spans="1:6" x14ac:dyDescent="0.35">
      <c r="A62" t="s">
        <v>472</v>
      </c>
      <c r="B62" t="str">
        <f t="shared" si="4"/>
        <v>1</v>
      </c>
      <c r="C62" t="str">
        <f t="shared" si="5"/>
        <v>1.7</v>
      </c>
      <c r="D62" t="str">
        <f t="shared" si="2"/>
        <v>1.7-6</v>
      </c>
      <c r="E62" t="str">
        <f t="shared" si="3"/>
        <v>1.7-6.1</v>
      </c>
      <c r="F62" s="3" t="s">
        <v>258</v>
      </c>
    </row>
    <row r="63" spans="1:6" x14ac:dyDescent="0.35">
      <c r="A63" t="s">
        <v>472</v>
      </c>
      <c r="B63" t="str">
        <f t="shared" si="4"/>
        <v>1</v>
      </c>
      <c r="C63" t="str">
        <f t="shared" si="5"/>
        <v>1.7</v>
      </c>
      <c r="D63" t="str">
        <f t="shared" si="2"/>
        <v>1.7-6</v>
      </c>
      <c r="E63" t="str">
        <f t="shared" si="3"/>
        <v>1.7-6.2</v>
      </c>
      <c r="F63" s="3" t="s">
        <v>259</v>
      </c>
    </row>
    <row r="64" spans="1:6" x14ac:dyDescent="0.35">
      <c r="A64" t="s">
        <v>472</v>
      </c>
      <c r="B64" t="str">
        <f t="shared" si="4"/>
        <v>1</v>
      </c>
      <c r="C64" t="str">
        <f t="shared" si="5"/>
        <v>1.7</v>
      </c>
      <c r="D64" t="str">
        <f t="shared" si="2"/>
        <v>1.7-6</v>
      </c>
      <c r="E64" t="str">
        <f t="shared" si="3"/>
        <v>1.7-6.3</v>
      </c>
      <c r="F64" s="3" t="s">
        <v>260</v>
      </c>
    </row>
    <row r="65" spans="1:6" x14ac:dyDescent="0.35">
      <c r="A65" t="s">
        <v>472</v>
      </c>
      <c r="B65" t="str">
        <f t="shared" si="4"/>
        <v>1</v>
      </c>
      <c r="C65" t="str">
        <f t="shared" si="5"/>
        <v>1.7</v>
      </c>
      <c r="D65" t="str">
        <f t="shared" si="2"/>
        <v>1.7-6</v>
      </c>
      <c r="E65" t="str">
        <f t="shared" si="3"/>
        <v>1.7-6.4</v>
      </c>
      <c r="F65" s="3" t="s">
        <v>261</v>
      </c>
    </row>
    <row r="66" spans="1:6" x14ac:dyDescent="0.35">
      <c r="A66" t="s">
        <v>472</v>
      </c>
      <c r="B66" t="str">
        <f t="shared" si="4"/>
        <v>1</v>
      </c>
      <c r="C66" t="str">
        <f t="shared" si="5"/>
        <v>1.7</v>
      </c>
      <c r="D66" t="str">
        <f t="shared" si="2"/>
        <v>1.7-6</v>
      </c>
      <c r="E66" t="str">
        <f t="shared" si="3"/>
        <v>1.7-6.5</v>
      </c>
      <c r="F66" s="3" t="s">
        <v>262</v>
      </c>
    </row>
    <row r="67" spans="1:6" x14ac:dyDescent="0.35">
      <c r="A67" t="s">
        <v>472</v>
      </c>
      <c r="B67" t="str">
        <f t="shared" si="4"/>
        <v>1</v>
      </c>
      <c r="C67" t="str">
        <f t="shared" si="5"/>
        <v>1.7</v>
      </c>
      <c r="D67" t="str">
        <f t="shared" si="2"/>
        <v>1.7-7</v>
      </c>
      <c r="E67" t="str">
        <f t="shared" si="3"/>
        <v>1.7-7.1</v>
      </c>
      <c r="F67" s="3" t="s">
        <v>263</v>
      </c>
    </row>
    <row r="68" spans="1:6" x14ac:dyDescent="0.35">
      <c r="A68" t="s">
        <v>472</v>
      </c>
      <c r="B68" t="str">
        <f t="shared" si="4"/>
        <v>1</v>
      </c>
      <c r="C68" t="str">
        <f t="shared" si="5"/>
        <v>1.7</v>
      </c>
      <c r="D68" t="str">
        <f t="shared" si="2"/>
        <v>1.7-8</v>
      </c>
      <c r="E68" t="str">
        <f t="shared" si="3"/>
        <v>1.7-8.1</v>
      </c>
      <c r="F68" s="3" t="s">
        <v>264</v>
      </c>
    </row>
    <row r="69" spans="1:6" x14ac:dyDescent="0.35">
      <c r="A69" t="s">
        <v>472</v>
      </c>
      <c r="B69" t="str">
        <f t="shared" si="4"/>
        <v>1</v>
      </c>
      <c r="C69" t="str">
        <f t="shared" si="5"/>
        <v>1.7</v>
      </c>
      <c r="D69" t="str">
        <f t="shared" si="2"/>
        <v>1.7-9</v>
      </c>
      <c r="E69" t="str">
        <f t="shared" si="3"/>
        <v>1.7-9.1</v>
      </c>
      <c r="F69" s="3" t="s">
        <v>265</v>
      </c>
    </row>
    <row r="70" spans="1:6" x14ac:dyDescent="0.35">
      <c r="A70" t="s">
        <v>472</v>
      </c>
      <c r="B70" t="str">
        <f t="shared" si="4"/>
        <v>1</v>
      </c>
      <c r="C70" t="str">
        <f t="shared" si="5"/>
        <v>1.7</v>
      </c>
      <c r="D70" t="str">
        <f t="shared" si="2"/>
        <v>1.7-9</v>
      </c>
      <c r="E70" t="str">
        <f t="shared" si="3"/>
        <v>1.7-9.2</v>
      </c>
      <c r="F70" s="3" t="s">
        <v>266</v>
      </c>
    </row>
    <row r="71" spans="1:6" x14ac:dyDescent="0.35">
      <c r="A71" t="s">
        <v>472</v>
      </c>
      <c r="B71" t="str">
        <f t="shared" si="4"/>
        <v>1</v>
      </c>
      <c r="C71" t="str">
        <f t="shared" si="5"/>
        <v>1.7</v>
      </c>
      <c r="D71" t="str">
        <f t="shared" si="2"/>
        <v>1.7-9</v>
      </c>
      <c r="E71" t="str">
        <f t="shared" si="3"/>
        <v>1.7-9.3</v>
      </c>
      <c r="F71" s="3" t="s">
        <v>267</v>
      </c>
    </row>
    <row r="72" spans="1:6" x14ac:dyDescent="0.35">
      <c r="A72" t="s">
        <v>472</v>
      </c>
      <c r="B72" t="str">
        <f t="shared" si="4"/>
        <v>1</v>
      </c>
      <c r="C72" t="str">
        <f t="shared" si="5"/>
        <v>1.7</v>
      </c>
      <c r="D72" t="str">
        <f t="shared" si="2"/>
        <v>1.7-11</v>
      </c>
      <c r="E72" t="str">
        <f t="shared" si="3"/>
        <v>1.7-11.1</v>
      </c>
      <c r="F72" s="3" t="s">
        <v>268</v>
      </c>
    </row>
    <row r="73" spans="1:6" x14ac:dyDescent="0.35">
      <c r="A73" t="s">
        <v>472</v>
      </c>
      <c r="B73" t="str">
        <f t="shared" si="4"/>
        <v>1</v>
      </c>
      <c r="C73" t="str">
        <f t="shared" si="5"/>
        <v>1.7</v>
      </c>
      <c r="D73" t="str">
        <f t="shared" si="2"/>
        <v>1.7-11</v>
      </c>
      <c r="E73" t="str">
        <f t="shared" si="3"/>
        <v>1.7-11.2</v>
      </c>
      <c r="F73" s="3" t="s">
        <v>269</v>
      </c>
    </row>
    <row r="74" spans="1:6" x14ac:dyDescent="0.35">
      <c r="A74" t="s">
        <v>472</v>
      </c>
      <c r="B74" t="str">
        <f t="shared" si="4"/>
        <v>1</v>
      </c>
      <c r="C74" t="str">
        <f t="shared" si="5"/>
        <v>1.7</v>
      </c>
      <c r="D74" t="str">
        <f t="shared" si="2"/>
        <v>1.7-12</v>
      </c>
      <c r="E74" t="str">
        <f t="shared" si="3"/>
        <v>1.7-12.1</v>
      </c>
      <c r="F74" s="3" t="s">
        <v>270</v>
      </c>
    </row>
    <row r="75" spans="1:6" x14ac:dyDescent="0.35">
      <c r="A75" t="s">
        <v>472</v>
      </c>
      <c r="B75" t="str">
        <f t="shared" si="4"/>
        <v>1</v>
      </c>
      <c r="C75" t="str">
        <f t="shared" si="5"/>
        <v>1.7</v>
      </c>
      <c r="D75" t="str">
        <f t="shared" si="2"/>
        <v>1.7-12</v>
      </c>
      <c r="E75" t="str">
        <f t="shared" si="3"/>
        <v>1.7-12.2</v>
      </c>
      <c r="F75" s="3" t="s">
        <v>271</v>
      </c>
    </row>
    <row r="76" spans="1:6" x14ac:dyDescent="0.35">
      <c r="A76" t="s">
        <v>472</v>
      </c>
      <c r="B76" t="str">
        <f t="shared" si="4"/>
        <v>1</v>
      </c>
      <c r="C76" t="str">
        <f t="shared" si="5"/>
        <v>1.7</v>
      </c>
      <c r="D76" t="str">
        <f t="shared" si="2"/>
        <v>1.7-12</v>
      </c>
      <c r="E76" t="str">
        <f t="shared" si="3"/>
        <v>1.7-12.3</v>
      </c>
      <c r="F76" s="3" t="s">
        <v>272</v>
      </c>
    </row>
    <row r="77" spans="1:6" x14ac:dyDescent="0.35">
      <c r="A77" t="s">
        <v>472</v>
      </c>
      <c r="B77" t="str">
        <f t="shared" si="4"/>
        <v>1</v>
      </c>
      <c r="C77" t="str">
        <f t="shared" si="5"/>
        <v>1.7</v>
      </c>
      <c r="D77" t="str">
        <f t="shared" si="2"/>
        <v>1.7-12</v>
      </c>
      <c r="E77" t="str">
        <f t="shared" si="3"/>
        <v>1.7-12.4</v>
      </c>
      <c r="F77" s="3" t="s">
        <v>273</v>
      </c>
    </row>
    <row r="78" spans="1:6" x14ac:dyDescent="0.35">
      <c r="A78" t="s">
        <v>472</v>
      </c>
      <c r="B78" t="str">
        <f t="shared" si="4"/>
        <v>1</v>
      </c>
      <c r="C78" t="str">
        <f t="shared" si="5"/>
        <v>1.7</v>
      </c>
      <c r="D78" t="str">
        <f t="shared" si="2"/>
        <v>1.7-12</v>
      </c>
      <c r="E78" t="str">
        <f t="shared" si="3"/>
        <v>1.7-12.5</v>
      </c>
      <c r="F78" s="3" t="s">
        <v>274</v>
      </c>
    </row>
    <row r="79" spans="1:6" x14ac:dyDescent="0.35">
      <c r="A79" t="s">
        <v>472</v>
      </c>
      <c r="B79" t="str">
        <f t="shared" si="4"/>
        <v>1</v>
      </c>
      <c r="C79" t="str">
        <f t="shared" si="5"/>
        <v>1.7</v>
      </c>
      <c r="D79" t="str">
        <f t="shared" si="2"/>
        <v>1.7-12</v>
      </c>
      <c r="E79" t="str">
        <f t="shared" si="3"/>
        <v>1.7-12.6</v>
      </c>
      <c r="F79" s="3" t="s">
        <v>275</v>
      </c>
    </row>
    <row r="80" spans="1:6" x14ac:dyDescent="0.35">
      <c r="A80" t="s">
        <v>472</v>
      </c>
      <c r="B80" t="str">
        <f t="shared" si="4"/>
        <v>1</v>
      </c>
      <c r="C80" t="str">
        <f t="shared" si="5"/>
        <v>1.7</v>
      </c>
      <c r="D80" t="str">
        <f t="shared" si="2"/>
        <v>1.7-12</v>
      </c>
      <c r="E80" t="str">
        <f t="shared" si="3"/>
        <v>1.7-12.7</v>
      </c>
      <c r="F80" s="3" t="s">
        <v>276</v>
      </c>
    </row>
    <row r="81" spans="1:6" x14ac:dyDescent="0.35">
      <c r="A81" t="s">
        <v>472</v>
      </c>
      <c r="B81" t="str">
        <f t="shared" si="4"/>
        <v>1</v>
      </c>
      <c r="C81" t="str">
        <f t="shared" si="5"/>
        <v>1.7</v>
      </c>
      <c r="D81" t="str">
        <f t="shared" si="2"/>
        <v>1.7-12</v>
      </c>
      <c r="E81" t="str">
        <f t="shared" si="3"/>
        <v>1.7-12.8</v>
      </c>
      <c r="F81" s="3" t="s">
        <v>277</v>
      </c>
    </row>
    <row r="82" spans="1:6" x14ac:dyDescent="0.35">
      <c r="A82" t="s">
        <v>472</v>
      </c>
      <c r="B82" t="str">
        <f t="shared" si="4"/>
        <v>1</v>
      </c>
      <c r="C82" t="str">
        <f t="shared" si="5"/>
        <v>1.7</v>
      </c>
      <c r="D82" t="str">
        <f t="shared" si="2"/>
        <v>1.7-13</v>
      </c>
      <c r="E82" t="str">
        <f t="shared" si="3"/>
        <v>1.7-13.1</v>
      </c>
      <c r="F82" s="3" t="s">
        <v>278</v>
      </c>
    </row>
    <row r="83" spans="1:6" x14ac:dyDescent="0.35">
      <c r="A83" t="s">
        <v>472</v>
      </c>
      <c r="B83" t="str">
        <f t="shared" si="4"/>
        <v>1</v>
      </c>
      <c r="C83" t="str">
        <f t="shared" si="5"/>
        <v>1.7</v>
      </c>
      <c r="D83" t="str">
        <f t="shared" si="2"/>
        <v>1.7-13</v>
      </c>
      <c r="E83" t="str">
        <f t="shared" si="3"/>
        <v>1.7-13.2</v>
      </c>
      <c r="F83" s="3" t="s">
        <v>279</v>
      </c>
    </row>
    <row r="84" spans="1:6" x14ac:dyDescent="0.35">
      <c r="A84" t="s">
        <v>472</v>
      </c>
      <c r="B84" t="str">
        <f t="shared" si="4"/>
        <v>1</v>
      </c>
      <c r="C84" t="str">
        <f t="shared" si="5"/>
        <v>1.7</v>
      </c>
      <c r="D84" t="str">
        <f t="shared" si="2"/>
        <v>1.7-13</v>
      </c>
      <c r="E84" t="str">
        <f t="shared" si="3"/>
        <v>1.7-13.3</v>
      </c>
      <c r="F84" s="3" t="s">
        <v>280</v>
      </c>
    </row>
    <row r="85" spans="1:6" x14ac:dyDescent="0.35">
      <c r="A85" t="s">
        <v>472</v>
      </c>
      <c r="B85" t="str">
        <f t="shared" si="4"/>
        <v>1</v>
      </c>
      <c r="C85" t="str">
        <f t="shared" si="5"/>
        <v>1.7</v>
      </c>
      <c r="D85" t="str">
        <f t="shared" ref="D85:D148" si="6">IF(E85&lt;&gt;"",LEFT(E85,LEN(E85)-2),"")</f>
        <v>1.7-13</v>
      </c>
      <c r="E85" t="str">
        <f t="shared" ref="E85:E148" si="7">IF(F85&lt;&gt;"",TRIM(LEFT(F85,SEARCH(":",F85)-1)),"")</f>
        <v>1.7-13.4</v>
      </c>
      <c r="F85" s="3" t="s">
        <v>281</v>
      </c>
    </row>
    <row r="86" spans="1:6" x14ac:dyDescent="0.35">
      <c r="A86" t="s">
        <v>472</v>
      </c>
      <c r="B86" t="str">
        <f t="shared" si="4"/>
        <v>1</v>
      </c>
      <c r="C86" t="str">
        <f t="shared" si="5"/>
        <v>1.7</v>
      </c>
      <c r="D86" t="str">
        <f t="shared" si="6"/>
        <v>1.7-14</v>
      </c>
      <c r="E86" t="str">
        <f t="shared" si="7"/>
        <v>1.7-14.1</v>
      </c>
      <c r="F86" s="3" t="s">
        <v>282</v>
      </c>
    </row>
    <row r="87" spans="1:6" x14ac:dyDescent="0.35">
      <c r="A87" t="s">
        <v>473</v>
      </c>
      <c r="B87" t="str">
        <f t="shared" ref="B87:B107" si="8">IF(F87&lt;&gt;"",LEFT(F87,SEARCH(".",F87)-1),"")</f>
        <v>1</v>
      </c>
      <c r="C87" t="str">
        <f t="shared" ref="C87:C107" si="9">IF(F87&lt;&gt;"",LEFT(F87,SEARCH("-",F87)-1),"")</f>
        <v>1.8</v>
      </c>
      <c r="D87" t="str">
        <f t="shared" si="6"/>
        <v>1.8-2</v>
      </c>
      <c r="E87" t="str">
        <f t="shared" si="7"/>
        <v>1.8-2.1</v>
      </c>
      <c r="F87" s="4" t="s">
        <v>283</v>
      </c>
    </row>
    <row r="88" spans="1:6" x14ac:dyDescent="0.35">
      <c r="A88" t="s">
        <v>473</v>
      </c>
      <c r="B88" t="str">
        <f t="shared" si="8"/>
        <v>1</v>
      </c>
      <c r="C88" t="str">
        <f t="shared" si="9"/>
        <v>1.8</v>
      </c>
      <c r="D88" t="str">
        <f t="shared" si="6"/>
        <v>1.8-3</v>
      </c>
      <c r="E88" t="str">
        <f t="shared" si="7"/>
        <v>1.8-3.1</v>
      </c>
      <c r="F88" s="4" t="s">
        <v>284</v>
      </c>
    </row>
    <row r="89" spans="1:6" x14ac:dyDescent="0.35">
      <c r="A89" t="s">
        <v>473</v>
      </c>
      <c r="B89" t="str">
        <f t="shared" si="8"/>
        <v>1</v>
      </c>
      <c r="C89" t="str">
        <f t="shared" si="9"/>
        <v>1.9</v>
      </c>
      <c r="D89" t="str">
        <f t="shared" si="6"/>
        <v>1.9-1</v>
      </c>
      <c r="E89" t="str">
        <f t="shared" si="7"/>
        <v>1.9-1.1</v>
      </c>
      <c r="F89" s="4" t="s">
        <v>285</v>
      </c>
    </row>
    <row r="90" spans="1:6" x14ac:dyDescent="0.35">
      <c r="A90" t="s">
        <v>473</v>
      </c>
      <c r="B90" t="str">
        <f t="shared" si="8"/>
        <v>1</v>
      </c>
      <c r="C90" t="str">
        <f t="shared" si="9"/>
        <v>1.10</v>
      </c>
      <c r="D90" t="str">
        <f t="shared" si="6"/>
        <v>1.10-1</v>
      </c>
      <c r="E90" t="str">
        <f t="shared" si="7"/>
        <v>1.10-1.1</v>
      </c>
      <c r="F90" s="4" t="s">
        <v>286</v>
      </c>
    </row>
    <row r="91" spans="1:6" x14ac:dyDescent="0.35">
      <c r="A91" t="s">
        <v>473</v>
      </c>
      <c r="B91" t="str">
        <f t="shared" si="8"/>
        <v>1</v>
      </c>
      <c r="C91" t="str">
        <f t="shared" si="9"/>
        <v>1.10</v>
      </c>
      <c r="D91" t="str">
        <f t="shared" si="6"/>
        <v>1.10-2</v>
      </c>
      <c r="E91" t="str">
        <f t="shared" si="7"/>
        <v>1.10-2.1</v>
      </c>
      <c r="F91" s="4" t="s">
        <v>287</v>
      </c>
    </row>
    <row r="92" spans="1:6" x14ac:dyDescent="0.35">
      <c r="A92" t="s">
        <v>473</v>
      </c>
      <c r="B92" t="str">
        <f t="shared" si="8"/>
        <v>1</v>
      </c>
      <c r="C92" t="str">
        <f t="shared" si="9"/>
        <v>1.10</v>
      </c>
      <c r="D92" t="str">
        <f t="shared" si="6"/>
        <v>1.10-3</v>
      </c>
      <c r="E92" t="str">
        <f t="shared" si="7"/>
        <v>1.10-3.1</v>
      </c>
      <c r="F92" s="4" t="s">
        <v>288</v>
      </c>
    </row>
    <row r="93" spans="1:6" x14ac:dyDescent="0.35">
      <c r="A93" t="s">
        <v>473</v>
      </c>
      <c r="B93" t="str">
        <f t="shared" si="8"/>
        <v>1</v>
      </c>
      <c r="C93" t="str">
        <f t="shared" si="9"/>
        <v>1.11</v>
      </c>
      <c r="D93" t="str">
        <f t="shared" si="6"/>
        <v>1.11-2</v>
      </c>
      <c r="E93" t="str">
        <f t="shared" si="7"/>
        <v>1.11-2.1</v>
      </c>
      <c r="F93" s="4" t="s">
        <v>302</v>
      </c>
    </row>
    <row r="94" spans="1:6" x14ac:dyDescent="0.35">
      <c r="A94" t="s">
        <v>473</v>
      </c>
      <c r="B94" t="str">
        <f t="shared" si="8"/>
        <v>1</v>
      </c>
      <c r="C94" t="str">
        <f t="shared" si="9"/>
        <v>1.11</v>
      </c>
      <c r="D94" t="str">
        <f t="shared" si="6"/>
        <v>1.11-2</v>
      </c>
      <c r="E94" t="str">
        <f t="shared" si="7"/>
        <v>1.11-2.2</v>
      </c>
      <c r="F94" s="4" t="s">
        <v>303</v>
      </c>
    </row>
    <row r="95" spans="1:6" x14ac:dyDescent="0.35">
      <c r="A95" t="s">
        <v>473</v>
      </c>
      <c r="B95" t="str">
        <f t="shared" si="8"/>
        <v>1</v>
      </c>
      <c r="C95" t="str">
        <f t="shared" si="9"/>
        <v>1.11</v>
      </c>
      <c r="D95" t="str">
        <f t="shared" si="6"/>
        <v>1.11-2</v>
      </c>
      <c r="E95" t="str">
        <f t="shared" si="7"/>
        <v>1.11-2.3</v>
      </c>
      <c r="F95" s="4" t="s">
        <v>304</v>
      </c>
    </row>
    <row r="96" spans="1:6" x14ac:dyDescent="0.35">
      <c r="A96" t="s">
        <v>473</v>
      </c>
      <c r="B96" t="str">
        <f t="shared" si="8"/>
        <v>1</v>
      </c>
      <c r="C96" t="str">
        <f t="shared" si="9"/>
        <v>1.11</v>
      </c>
      <c r="D96" t="str">
        <f t="shared" si="6"/>
        <v>1.11-3</v>
      </c>
      <c r="E96" t="str">
        <f t="shared" si="7"/>
        <v>1.11-3.1</v>
      </c>
      <c r="F96" s="4" t="s">
        <v>305</v>
      </c>
    </row>
    <row r="97" spans="1:6" x14ac:dyDescent="0.35">
      <c r="A97" t="s">
        <v>473</v>
      </c>
      <c r="B97" t="str">
        <f t="shared" si="8"/>
        <v>1</v>
      </c>
      <c r="C97" t="str">
        <f t="shared" si="9"/>
        <v>1.11</v>
      </c>
      <c r="D97" t="str">
        <f t="shared" si="6"/>
        <v>1.11-3</v>
      </c>
      <c r="E97" t="str">
        <f t="shared" si="7"/>
        <v>1.11-3.2</v>
      </c>
      <c r="F97" s="4" t="s">
        <v>306</v>
      </c>
    </row>
    <row r="98" spans="1:6" x14ac:dyDescent="0.35">
      <c r="A98" t="s">
        <v>473</v>
      </c>
      <c r="B98" t="str">
        <f t="shared" si="8"/>
        <v>1</v>
      </c>
      <c r="C98" t="str">
        <f t="shared" si="9"/>
        <v>1.11</v>
      </c>
      <c r="D98" t="str">
        <f t="shared" si="6"/>
        <v>1.11-3</v>
      </c>
      <c r="E98" t="str">
        <f t="shared" si="7"/>
        <v>1.11-3.3</v>
      </c>
      <c r="F98" s="4" t="s">
        <v>307</v>
      </c>
    </row>
    <row r="99" spans="1:6" x14ac:dyDescent="0.35">
      <c r="A99" t="s">
        <v>473</v>
      </c>
      <c r="B99" t="str">
        <f t="shared" si="8"/>
        <v>1</v>
      </c>
      <c r="C99" t="str">
        <f t="shared" si="9"/>
        <v>1.11</v>
      </c>
      <c r="D99" t="str">
        <f t="shared" si="6"/>
        <v>1.11-3</v>
      </c>
      <c r="E99" t="str">
        <f t="shared" si="7"/>
        <v>1.11-3.4</v>
      </c>
      <c r="F99" s="4" t="s">
        <v>308</v>
      </c>
    </row>
    <row r="100" spans="1:6" x14ac:dyDescent="0.35">
      <c r="A100" t="s">
        <v>473</v>
      </c>
      <c r="B100" t="str">
        <f t="shared" si="8"/>
        <v>1</v>
      </c>
      <c r="C100" t="str">
        <f t="shared" si="9"/>
        <v>1.11</v>
      </c>
      <c r="D100" t="str">
        <f t="shared" si="6"/>
        <v>1.11-4</v>
      </c>
      <c r="E100" t="str">
        <f t="shared" si="7"/>
        <v>1.11-4.1</v>
      </c>
      <c r="F100" s="4" t="s">
        <v>309</v>
      </c>
    </row>
    <row r="101" spans="1:6" x14ac:dyDescent="0.35">
      <c r="A101" t="s">
        <v>473</v>
      </c>
      <c r="B101" t="str">
        <f t="shared" si="8"/>
        <v>1</v>
      </c>
      <c r="C101" t="str">
        <f t="shared" si="9"/>
        <v>1.11</v>
      </c>
      <c r="D101" t="str">
        <f t="shared" si="6"/>
        <v>1.11-4</v>
      </c>
      <c r="E101" t="str">
        <f t="shared" si="7"/>
        <v>1.11-4.2</v>
      </c>
      <c r="F101" s="4" t="s">
        <v>310</v>
      </c>
    </row>
    <row r="102" spans="1:6" x14ac:dyDescent="0.35">
      <c r="A102" t="s">
        <v>473</v>
      </c>
      <c r="B102" t="str">
        <f t="shared" si="8"/>
        <v>1</v>
      </c>
      <c r="C102" t="str">
        <f t="shared" si="9"/>
        <v>1.11</v>
      </c>
      <c r="D102" t="str">
        <f t="shared" si="6"/>
        <v>1.11-4</v>
      </c>
      <c r="E102" t="str">
        <f t="shared" si="7"/>
        <v>1.11-4.3</v>
      </c>
      <c r="F102" s="4" t="s">
        <v>311</v>
      </c>
    </row>
    <row r="103" spans="1:6" x14ac:dyDescent="0.35">
      <c r="A103" t="s">
        <v>473</v>
      </c>
      <c r="B103" t="str">
        <f t="shared" si="8"/>
        <v>1</v>
      </c>
      <c r="C103" t="str">
        <f t="shared" si="9"/>
        <v>1.11</v>
      </c>
      <c r="D103" t="str">
        <f t="shared" si="6"/>
        <v>1.11-4</v>
      </c>
      <c r="E103" t="str">
        <f t="shared" si="7"/>
        <v>1.11-4.4</v>
      </c>
      <c r="F103" s="4" t="s">
        <v>312</v>
      </c>
    </row>
    <row r="104" spans="1:6" x14ac:dyDescent="0.35">
      <c r="A104" t="s">
        <v>473</v>
      </c>
      <c r="B104" t="str">
        <f t="shared" si="8"/>
        <v>1</v>
      </c>
      <c r="C104" t="str">
        <f t="shared" si="9"/>
        <v>1.11</v>
      </c>
      <c r="D104" t="str">
        <f t="shared" si="6"/>
        <v>1.11-4</v>
      </c>
      <c r="E104" t="str">
        <f t="shared" si="7"/>
        <v>1.11-4.5</v>
      </c>
      <c r="F104" s="4" t="s">
        <v>313</v>
      </c>
    </row>
    <row r="105" spans="1:6" x14ac:dyDescent="0.35">
      <c r="A105" t="s">
        <v>473</v>
      </c>
      <c r="B105" t="str">
        <f t="shared" si="8"/>
        <v>1</v>
      </c>
      <c r="C105" t="str">
        <f t="shared" si="9"/>
        <v>1.11</v>
      </c>
      <c r="D105" t="str">
        <f t="shared" si="6"/>
        <v>1.11-4</v>
      </c>
      <c r="E105" t="str">
        <f t="shared" si="7"/>
        <v>1.11-4.6</v>
      </c>
      <c r="F105" s="4" t="s">
        <v>314</v>
      </c>
    </row>
    <row r="106" spans="1:6" x14ac:dyDescent="0.35">
      <c r="A106" t="s">
        <v>473</v>
      </c>
      <c r="B106" t="str">
        <f t="shared" si="8"/>
        <v>1</v>
      </c>
      <c r="C106" t="str">
        <f t="shared" si="9"/>
        <v>1.11</v>
      </c>
      <c r="D106" t="str">
        <f t="shared" si="6"/>
        <v>1.11-4</v>
      </c>
      <c r="E106" t="str">
        <f t="shared" si="7"/>
        <v>1.11-4.7</v>
      </c>
      <c r="F106" s="4" t="s">
        <v>315</v>
      </c>
    </row>
    <row r="107" spans="1:6" x14ac:dyDescent="0.35">
      <c r="A107" t="s">
        <v>471</v>
      </c>
      <c r="B107" t="str">
        <f t="shared" si="8"/>
        <v>1</v>
      </c>
      <c r="C107" t="str">
        <f t="shared" si="9"/>
        <v>1.11</v>
      </c>
      <c r="D107" t="str">
        <f t="shared" si="6"/>
        <v>1.11-4</v>
      </c>
      <c r="E107" t="str">
        <f t="shared" si="7"/>
        <v>1.11-4.8</v>
      </c>
      <c r="F107" s="5" t="s">
        <v>316</v>
      </c>
    </row>
    <row r="108" spans="1:6" x14ac:dyDescent="0.35">
      <c r="A108" t="s">
        <v>471</v>
      </c>
      <c r="B108" t="str">
        <f t="shared" ref="B108:B127" si="10">IF(F108&lt;&gt;"",LEFT(F108,SEARCH(".",F108)-1),"")</f>
        <v>1</v>
      </c>
      <c r="C108" t="str">
        <f t="shared" ref="C108:C127" si="11">IF(F108&lt;&gt;"",LEFT(F108,SEARCH("-",F108)-1),"")</f>
        <v>1.11</v>
      </c>
      <c r="D108" t="str">
        <f t="shared" si="6"/>
        <v>1.11-5</v>
      </c>
      <c r="E108" t="str">
        <f t="shared" si="7"/>
        <v>1.11-5.1</v>
      </c>
      <c r="F108" s="5" t="s">
        <v>317</v>
      </c>
    </row>
    <row r="109" spans="1:6" x14ac:dyDescent="0.35">
      <c r="A109" t="s">
        <v>471</v>
      </c>
      <c r="B109" t="str">
        <f t="shared" si="10"/>
        <v>1</v>
      </c>
      <c r="C109" t="str">
        <f t="shared" si="11"/>
        <v>1.11</v>
      </c>
      <c r="D109" t="str">
        <f t="shared" si="6"/>
        <v>1.11-5</v>
      </c>
      <c r="E109" t="str">
        <f t="shared" si="7"/>
        <v>1.11-5.2</v>
      </c>
      <c r="F109" s="5" t="s">
        <v>318</v>
      </c>
    </row>
    <row r="110" spans="1:6" x14ac:dyDescent="0.35">
      <c r="A110" t="s">
        <v>471</v>
      </c>
      <c r="B110" t="str">
        <f t="shared" si="10"/>
        <v>1</v>
      </c>
      <c r="C110" t="str">
        <f t="shared" si="11"/>
        <v>1.11</v>
      </c>
      <c r="D110" t="str">
        <f t="shared" si="6"/>
        <v>1.11-5</v>
      </c>
      <c r="E110" t="str">
        <f t="shared" si="7"/>
        <v>1.11-5.3</v>
      </c>
      <c r="F110" s="5" t="s">
        <v>319</v>
      </c>
    </row>
    <row r="111" spans="1:6" x14ac:dyDescent="0.35">
      <c r="A111" t="s">
        <v>471</v>
      </c>
      <c r="B111" t="str">
        <f t="shared" si="10"/>
        <v>1</v>
      </c>
      <c r="C111" t="str">
        <f t="shared" si="11"/>
        <v>1.11</v>
      </c>
      <c r="D111" t="str">
        <f t="shared" si="6"/>
        <v>1.11-5</v>
      </c>
      <c r="E111" t="str">
        <f t="shared" si="7"/>
        <v>1.11-5.4</v>
      </c>
      <c r="F111" s="5" t="s">
        <v>320</v>
      </c>
    </row>
    <row r="112" spans="1:6" x14ac:dyDescent="0.35">
      <c r="A112" t="s">
        <v>471</v>
      </c>
      <c r="B112" t="str">
        <f t="shared" si="10"/>
        <v>1</v>
      </c>
      <c r="C112" t="str">
        <f t="shared" si="11"/>
        <v>1.11</v>
      </c>
      <c r="D112" t="str">
        <f t="shared" si="6"/>
        <v>1.11-5</v>
      </c>
      <c r="E112" t="str">
        <f t="shared" si="7"/>
        <v>1.11-5.5</v>
      </c>
      <c r="F112" s="5" t="s">
        <v>321</v>
      </c>
    </row>
    <row r="113" spans="1:6" x14ac:dyDescent="0.35">
      <c r="A113" t="s">
        <v>471</v>
      </c>
      <c r="B113" t="str">
        <f t="shared" si="10"/>
        <v>1</v>
      </c>
      <c r="C113" t="str">
        <f t="shared" si="11"/>
        <v>1.11</v>
      </c>
      <c r="D113" t="str">
        <f t="shared" si="6"/>
        <v>1.11-5</v>
      </c>
      <c r="E113" t="str">
        <f t="shared" si="7"/>
        <v>1.11-5.6</v>
      </c>
      <c r="F113" s="5" t="s">
        <v>322</v>
      </c>
    </row>
    <row r="114" spans="1:6" x14ac:dyDescent="0.35">
      <c r="A114" t="s">
        <v>471</v>
      </c>
      <c r="B114" t="str">
        <f t="shared" si="10"/>
        <v>1</v>
      </c>
      <c r="C114" t="str">
        <f t="shared" si="11"/>
        <v>1.11</v>
      </c>
      <c r="D114" t="str">
        <f t="shared" si="6"/>
        <v>1.11-5</v>
      </c>
      <c r="E114" t="str">
        <f t="shared" si="7"/>
        <v>1.11-5.7</v>
      </c>
      <c r="F114" s="5" t="s">
        <v>323</v>
      </c>
    </row>
    <row r="115" spans="1:6" x14ac:dyDescent="0.35">
      <c r="A115" t="s">
        <v>471</v>
      </c>
      <c r="B115" t="str">
        <f t="shared" si="10"/>
        <v>1</v>
      </c>
      <c r="C115" t="str">
        <f t="shared" si="11"/>
        <v>1.11</v>
      </c>
      <c r="D115" t="str">
        <f t="shared" si="6"/>
        <v>1.11-6</v>
      </c>
      <c r="E115" t="str">
        <f t="shared" si="7"/>
        <v>1.11-6.1</v>
      </c>
      <c r="F115" s="5" t="s">
        <v>324</v>
      </c>
    </row>
    <row r="116" spans="1:6" x14ac:dyDescent="0.35">
      <c r="A116" t="s">
        <v>471</v>
      </c>
      <c r="B116" t="str">
        <f t="shared" si="10"/>
        <v>1</v>
      </c>
      <c r="C116" t="str">
        <f t="shared" si="11"/>
        <v>1.11</v>
      </c>
      <c r="D116" t="str">
        <f t="shared" si="6"/>
        <v>1.11-6</v>
      </c>
      <c r="E116" t="str">
        <f t="shared" si="7"/>
        <v>1.11-6.2</v>
      </c>
      <c r="F116" s="5" t="s">
        <v>325</v>
      </c>
    </row>
    <row r="117" spans="1:6" x14ac:dyDescent="0.35">
      <c r="A117" t="s">
        <v>471</v>
      </c>
      <c r="B117" t="str">
        <f t="shared" si="10"/>
        <v>1</v>
      </c>
      <c r="C117" t="str">
        <f t="shared" si="11"/>
        <v>1.11</v>
      </c>
      <c r="D117" t="str">
        <f t="shared" si="6"/>
        <v>1.11-6</v>
      </c>
      <c r="E117" t="str">
        <f t="shared" si="7"/>
        <v>1.11-6.3</v>
      </c>
      <c r="F117" s="5" t="s">
        <v>326</v>
      </c>
    </row>
    <row r="118" spans="1:6" x14ac:dyDescent="0.35">
      <c r="A118" t="s">
        <v>471</v>
      </c>
      <c r="B118" t="str">
        <f t="shared" si="10"/>
        <v>1</v>
      </c>
      <c r="C118" t="str">
        <f t="shared" si="11"/>
        <v>1.11</v>
      </c>
      <c r="D118" t="str">
        <f t="shared" si="6"/>
        <v>1.11-6</v>
      </c>
      <c r="E118" t="str">
        <f t="shared" si="7"/>
        <v>1.11-6.4</v>
      </c>
      <c r="F118" s="5" t="s">
        <v>327</v>
      </c>
    </row>
    <row r="119" spans="1:6" x14ac:dyDescent="0.35">
      <c r="A119" t="s">
        <v>471</v>
      </c>
      <c r="B119" t="str">
        <f t="shared" si="10"/>
        <v>1</v>
      </c>
      <c r="C119" t="str">
        <f t="shared" si="11"/>
        <v>1.11</v>
      </c>
      <c r="D119" t="str">
        <f t="shared" si="6"/>
        <v>1.11-6</v>
      </c>
      <c r="E119" t="str">
        <f t="shared" si="7"/>
        <v>1.11-6.5</v>
      </c>
      <c r="F119" s="5" t="s">
        <v>328</v>
      </c>
    </row>
    <row r="120" spans="1:6" x14ac:dyDescent="0.35">
      <c r="A120" t="s">
        <v>471</v>
      </c>
      <c r="B120" t="str">
        <f t="shared" si="10"/>
        <v>1</v>
      </c>
      <c r="C120" t="str">
        <f t="shared" si="11"/>
        <v>1.11</v>
      </c>
      <c r="D120" t="str">
        <f t="shared" si="6"/>
        <v>1.11-6</v>
      </c>
      <c r="E120" t="str">
        <f t="shared" si="7"/>
        <v>1.11-6.6</v>
      </c>
      <c r="F120" s="5" t="s">
        <v>329</v>
      </c>
    </row>
    <row r="121" spans="1:6" x14ac:dyDescent="0.35">
      <c r="A121" t="s">
        <v>471</v>
      </c>
      <c r="B121" t="str">
        <f t="shared" si="10"/>
        <v>1</v>
      </c>
      <c r="C121" t="str">
        <f t="shared" si="11"/>
        <v>1.11</v>
      </c>
      <c r="D121" t="str">
        <f t="shared" si="6"/>
        <v>1.11-6</v>
      </c>
      <c r="E121" t="str">
        <f t="shared" si="7"/>
        <v>1.11-6.7</v>
      </c>
      <c r="F121" s="5" t="s">
        <v>330</v>
      </c>
    </row>
    <row r="122" spans="1:6" x14ac:dyDescent="0.35">
      <c r="A122" t="s">
        <v>471</v>
      </c>
      <c r="B122" t="str">
        <f t="shared" si="10"/>
        <v>1</v>
      </c>
      <c r="C122" t="str">
        <f t="shared" si="11"/>
        <v>1.11</v>
      </c>
      <c r="D122" t="str">
        <f t="shared" si="6"/>
        <v>1.11-6</v>
      </c>
      <c r="E122" t="str">
        <f t="shared" si="7"/>
        <v>1.11-6.8</v>
      </c>
      <c r="F122" s="5" t="s">
        <v>331</v>
      </c>
    </row>
    <row r="123" spans="1:6" x14ac:dyDescent="0.35">
      <c r="A123" t="s">
        <v>471</v>
      </c>
      <c r="B123" t="str">
        <f t="shared" si="10"/>
        <v>1</v>
      </c>
      <c r="C123" t="str">
        <f t="shared" si="11"/>
        <v>1.11</v>
      </c>
      <c r="D123" t="str">
        <f t="shared" si="6"/>
        <v>1.11-6</v>
      </c>
      <c r="E123" t="str">
        <f t="shared" si="7"/>
        <v>1.11-6.9</v>
      </c>
      <c r="F123" s="5" t="s">
        <v>332</v>
      </c>
    </row>
    <row r="124" spans="1:6" x14ac:dyDescent="0.35">
      <c r="A124" t="s">
        <v>471</v>
      </c>
      <c r="B124" t="str">
        <f t="shared" si="10"/>
        <v>1</v>
      </c>
      <c r="C124" t="str">
        <f t="shared" si="11"/>
        <v>1.11</v>
      </c>
      <c r="D124" t="str">
        <f t="shared" si="6"/>
        <v>1.11-6.</v>
      </c>
      <c r="E124" t="str">
        <f t="shared" si="7"/>
        <v>1.11-6.10</v>
      </c>
      <c r="F124" s="5" t="s">
        <v>333</v>
      </c>
    </row>
    <row r="125" spans="1:6" x14ac:dyDescent="0.35">
      <c r="A125" t="s">
        <v>471</v>
      </c>
      <c r="B125" t="str">
        <f t="shared" si="10"/>
        <v>1</v>
      </c>
      <c r="C125" t="str">
        <f t="shared" si="11"/>
        <v>1.11</v>
      </c>
      <c r="D125" t="str">
        <f t="shared" si="6"/>
        <v>1.11-6.</v>
      </c>
      <c r="E125" t="str">
        <f t="shared" si="7"/>
        <v>1.11-6.11</v>
      </c>
      <c r="F125" s="5" t="s">
        <v>334</v>
      </c>
    </row>
    <row r="126" spans="1:6" x14ac:dyDescent="0.35">
      <c r="A126" t="s">
        <v>471</v>
      </c>
      <c r="B126" t="str">
        <f t="shared" si="10"/>
        <v>1</v>
      </c>
      <c r="C126" t="str">
        <f t="shared" si="11"/>
        <v>1.11</v>
      </c>
      <c r="D126" t="str">
        <f t="shared" si="6"/>
        <v>1.11-6.</v>
      </c>
      <c r="E126" t="str">
        <f t="shared" si="7"/>
        <v>1.11-6.12</v>
      </c>
      <c r="F126" s="5" t="s">
        <v>335</v>
      </c>
    </row>
    <row r="127" spans="1:6" x14ac:dyDescent="0.35">
      <c r="A127" t="s">
        <v>471</v>
      </c>
      <c r="B127" t="str">
        <f t="shared" si="10"/>
        <v>1</v>
      </c>
      <c r="C127" t="str">
        <f t="shared" si="11"/>
        <v>1.11</v>
      </c>
      <c r="D127" t="str">
        <f t="shared" si="6"/>
        <v>1.11-6.</v>
      </c>
      <c r="E127" t="str">
        <f t="shared" si="7"/>
        <v>1.11-6.13</v>
      </c>
      <c r="F127" s="5" t="s">
        <v>336</v>
      </c>
    </row>
    <row r="128" spans="1:6" x14ac:dyDescent="0.35">
      <c r="A128" t="s">
        <v>466</v>
      </c>
      <c r="B128" t="str">
        <f t="shared" ref="B128:B136" si="12">IF(F128&lt;&gt;"",LEFT(F128,SEARCH(".",F128)-1),"")</f>
        <v>2</v>
      </c>
      <c r="C128" t="str">
        <f t="shared" ref="C128:C136" si="13">IF(F128&lt;&gt;"",LEFT(F128,SEARCH("-",F128)-1),"")</f>
        <v>2.1</v>
      </c>
      <c r="D128" t="str">
        <f t="shared" si="6"/>
        <v>2.1-1</v>
      </c>
      <c r="E128" t="str">
        <f t="shared" si="7"/>
        <v>2.1-1.1</v>
      </c>
      <c r="F128" t="s">
        <v>337</v>
      </c>
    </row>
    <row r="129" spans="1:6" x14ac:dyDescent="0.35">
      <c r="A129" t="s">
        <v>466</v>
      </c>
      <c r="B129" t="str">
        <f t="shared" si="12"/>
        <v>2</v>
      </c>
      <c r="C129" t="str">
        <f t="shared" si="13"/>
        <v>2.1</v>
      </c>
      <c r="D129" t="str">
        <f t="shared" si="6"/>
        <v>2.1-1</v>
      </c>
      <c r="E129" t="str">
        <f t="shared" si="7"/>
        <v>2.1-1.2</v>
      </c>
      <c r="F129" t="s">
        <v>338</v>
      </c>
    </row>
    <row r="130" spans="1:6" x14ac:dyDescent="0.35">
      <c r="A130" t="s">
        <v>466</v>
      </c>
      <c r="B130" t="str">
        <f t="shared" si="12"/>
        <v>2</v>
      </c>
      <c r="C130" t="str">
        <f t="shared" si="13"/>
        <v>2.1</v>
      </c>
      <c r="D130" t="str">
        <f t="shared" si="6"/>
        <v>2.1-1</v>
      </c>
      <c r="E130" t="str">
        <f t="shared" si="7"/>
        <v>2.1-1.3</v>
      </c>
      <c r="F130" t="s">
        <v>339</v>
      </c>
    </row>
    <row r="131" spans="1:6" x14ac:dyDescent="0.35">
      <c r="A131" t="s">
        <v>466</v>
      </c>
      <c r="B131" t="str">
        <f t="shared" si="12"/>
        <v>2</v>
      </c>
      <c r="C131" t="str">
        <f t="shared" si="13"/>
        <v>2.1</v>
      </c>
      <c r="D131" t="str">
        <f t="shared" si="6"/>
        <v>2.1-1</v>
      </c>
      <c r="E131" t="str">
        <f t="shared" si="7"/>
        <v>2.1-1.4</v>
      </c>
      <c r="F131" t="s">
        <v>340</v>
      </c>
    </row>
    <row r="132" spans="1:6" x14ac:dyDescent="0.35">
      <c r="A132" t="s">
        <v>466</v>
      </c>
      <c r="B132" t="str">
        <f t="shared" si="12"/>
        <v>2</v>
      </c>
      <c r="C132" t="str">
        <f t="shared" si="13"/>
        <v>2.1</v>
      </c>
      <c r="D132" t="str">
        <f t="shared" si="6"/>
        <v>2.1-2</v>
      </c>
      <c r="E132" t="str">
        <f t="shared" si="7"/>
        <v>2.1-2.1</v>
      </c>
      <c r="F132" t="s">
        <v>341</v>
      </c>
    </row>
    <row r="133" spans="1:6" x14ac:dyDescent="0.35">
      <c r="A133" t="s">
        <v>466</v>
      </c>
      <c r="B133" t="str">
        <f t="shared" si="12"/>
        <v>2</v>
      </c>
      <c r="C133" t="str">
        <f t="shared" si="13"/>
        <v>2.1</v>
      </c>
      <c r="D133" t="str">
        <f t="shared" si="6"/>
        <v>2.1-2</v>
      </c>
      <c r="E133" t="str">
        <f t="shared" si="7"/>
        <v>2.1-2.2</v>
      </c>
      <c r="F133" t="s">
        <v>342</v>
      </c>
    </row>
    <row r="134" spans="1:6" x14ac:dyDescent="0.35">
      <c r="A134" t="s">
        <v>466</v>
      </c>
      <c r="B134" t="str">
        <f t="shared" si="12"/>
        <v>2</v>
      </c>
      <c r="C134" t="str">
        <f t="shared" si="13"/>
        <v>2.1</v>
      </c>
      <c r="D134" t="str">
        <f t="shared" si="6"/>
        <v>2.1-2</v>
      </c>
      <c r="E134" t="str">
        <f t="shared" si="7"/>
        <v>2.1-2.3</v>
      </c>
      <c r="F134" t="s">
        <v>343</v>
      </c>
    </row>
    <row r="135" spans="1:6" x14ac:dyDescent="0.35">
      <c r="A135" t="s">
        <v>466</v>
      </c>
      <c r="B135" t="str">
        <f t="shared" si="12"/>
        <v>2</v>
      </c>
      <c r="C135" t="str">
        <f t="shared" si="13"/>
        <v>2.1</v>
      </c>
      <c r="D135" t="str">
        <f t="shared" si="6"/>
        <v>2.1-2</v>
      </c>
      <c r="E135" t="str">
        <f t="shared" si="7"/>
        <v>2.1-2.4</v>
      </c>
      <c r="F135" t="s">
        <v>344</v>
      </c>
    </row>
    <row r="136" spans="1:6" x14ac:dyDescent="0.35">
      <c r="A136" t="s">
        <v>466</v>
      </c>
      <c r="B136" t="str">
        <f t="shared" si="12"/>
        <v>2</v>
      </c>
      <c r="C136" t="str">
        <f t="shared" si="13"/>
        <v>2.1</v>
      </c>
      <c r="D136" t="str">
        <f t="shared" si="6"/>
        <v>2.1-2</v>
      </c>
      <c r="E136" t="str">
        <f t="shared" si="7"/>
        <v>2.1-2.5</v>
      </c>
      <c r="F136" t="s">
        <v>345</v>
      </c>
    </row>
    <row r="137" spans="1:6" x14ac:dyDescent="0.35">
      <c r="A137" t="s">
        <v>474</v>
      </c>
      <c r="B137" t="str">
        <f t="shared" ref="B137:B185" si="14">IF(F137&lt;&gt;"",LEFT(F137,SEARCH(".",F137)-1),"")</f>
        <v>4</v>
      </c>
      <c r="C137" t="str">
        <f t="shared" ref="C137:C185" si="15">IF(F137&lt;&gt;"",LEFT(F137,SEARCH("-",F137)-1),"")</f>
        <v>4.1</v>
      </c>
      <c r="D137" t="str">
        <f t="shared" si="6"/>
        <v>4.1-1</v>
      </c>
      <c r="E137" t="str">
        <f t="shared" si="7"/>
        <v>4.1-1.1</v>
      </c>
      <c r="F137" t="s">
        <v>412</v>
      </c>
    </row>
    <row r="138" spans="1:6" x14ac:dyDescent="0.35">
      <c r="A138" t="s">
        <v>474</v>
      </c>
      <c r="B138" t="str">
        <f t="shared" si="14"/>
        <v>4</v>
      </c>
      <c r="C138" t="str">
        <f t="shared" si="15"/>
        <v>4.1</v>
      </c>
      <c r="D138" t="str">
        <f t="shared" si="6"/>
        <v>4.1-1</v>
      </c>
      <c r="E138" t="str">
        <f t="shared" si="7"/>
        <v>4.1-1.2</v>
      </c>
      <c r="F138" t="s">
        <v>413</v>
      </c>
    </row>
    <row r="139" spans="1:6" x14ac:dyDescent="0.35">
      <c r="A139" t="s">
        <v>474</v>
      </c>
      <c r="B139" t="str">
        <f t="shared" si="14"/>
        <v>4</v>
      </c>
      <c r="C139" t="str">
        <f t="shared" si="15"/>
        <v>4.1</v>
      </c>
      <c r="D139" t="str">
        <f t="shared" si="6"/>
        <v>4.1-1</v>
      </c>
      <c r="E139" t="str">
        <f t="shared" si="7"/>
        <v>4.1-1.3</v>
      </c>
      <c r="F139" t="s">
        <v>414</v>
      </c>
    </row>
    <row r="140" spans="1:6" x14ac:dyDescent="0.35">
      <c r="A140" t="s">
        <v>474</v>
      </c>
      <c r="B140" t="str">
        <f t="shared" si="14"/>
        <v>4</v>
      </c>
      <c r="C140" t="str">
        <f t="shared" si="15"/>
        <v>4.1</v>
      </c>
      <c r="D140" t="str">
        <f t="shared" si="6"/>
        <v>4.1-1</v>
      </c>
      <c r="E140" t="str">
        <f t="shared" si="7"/>
        <v>4.1-1.4</v>
      </c>
      <c r="F140" t="s">
        <v>415</v>
      </c>
    </row>
    <row r="141" spans="1:6" x14ac:dyDescent="0.35">
      <c r="A141" t="s">
        <v>474</v>
      </c>
      <c r="B141" t="str">
        <f t="shared" si="14"/>
        <v>4</v>
      </c>
      <c r="C141" t="str">
        <f t="shared" si="15"/>
        <v>4.1</v>
      </c>
      <c r="D141" t="str">
        <f t="shared" si="6"/>
        <v>4.1-1</v>
      </c>
      <c r="E141" t="str">
        <f t="shared" si="7"/>
        <v>4.1-1.5</v>
      </c>
      <c r="F141" t="s">
        <v>416</v>
      </c>
    </row>
    <row r="142" spans="1:6" x14ac:dyDescent="0.35">
      <c r="A142" t="s">
        <v>474</v>
      </c>
      <c r="B142" t="str">
        <f t="shared" si="14"/>
        <v>4</v>
      </c>
      <c r="C142" t="str">
        <f t="shared" si="15"/>
        <v>4.1</v>
      </c>
      <c r="D142" t="str">
        <f t="shared" si="6"/>
        <v>4.1-1</v>
      </c>
      <c r="E142" t="str">
        <f t="shared" si="7"/>
        <v>4.1-1.6</v>
      </c>
      <c r="F142" t="s">
        <v>417</v>
      </c>
    </row>
    <row r="143" spans="1:6" x14ac:dyDescent="0.35">
      <c r="A143" t="s">
        <v>474</v>
      </c>
      <c r="B143" t="str">
        <f t="shared" si="14"/>
        <v>4</v>
      </c>
      <c r="C143" t="str">
        <f t="shared" si="15"/>
        <v>4.1</v>
      </c>
      <c r="D143" t="str">
        <f t="shared" si="6"/>
        <v>4.1-1</v>
      </c>
      <c r="E143" t="str">
        <f t="shared" si="7"/>
        <v>4.1-1.7</v>
      </c>
      <c r="F143" t="s">
        <v>418</v>
      </c>
    </row>
    <row r="144" spans="1:6" x14ac:dyDescent="0.35">
      <c r="A144" t="s">
        <v>474</v>
      </c>
      <c r="B144" t="str">
        <f t="shared" si="14"/>
        <v>4</v>
      </c>
      <c r="C144" t="str">
        <f t="shared" si="15"/>
        <v>4.1</v>
      </c>
      <c r="D144" t="str">
        <f t="shared" si="6"/>
        <v>4.1-1</v>
      </c>
      <c r="E144" t="str">
        <f t="shared" si="7"/>
        <v>4.1-1.8</v>
      </c>
      <c r="F144" t="s">
        <v>419</v>
      </c>
    </row>
    <row r="145" spans="1:6" x14ac:dyDescent="0.35">
      <c r="A145" t="s">
        <v>474</v>
      </c>
      <c r="B145" t="str">
        <f t="shared" si="14"/>
        <v>4</v>
      </c>
      <c r="C145" t="str">
        <f t="shared" si="15"/>
        <v>4.1</v>
      </c>
      <c r="D145" t="str">
        <f t="shared" si="6"/>
        <v>4.1-1</v>
      </c>
      <c r="E145" t="str">
        <f t="shared" si="7"/>
        <v>4.1-1.9</v>
      </c>
      <c r="F145" t="s">
        <v>420</v>
      </c>
    </row>
    <row r="146" spans="1:6" x14ac:dyDescent="0.35">
      <c r="A146" t="s">
        <v>474</v>
      </c>
      <c r="B146" t="str">
        <f t="shared" si="14"/>
        <v>4</v>
      </c>
      <c r="C146" t="str">
        <f t="shared" si="15"/>
        <v>4.1</v>
      </c>
      <c r="D146" t="str">
        <f t="shared" si="6"/>
        <v>4.1-1.</v>
      </c>
      <c r="E146" t="str">
        <f t="shared" si="7"/>
        <v>4.1-1.10</v>
      </c>
      <c r="F146" t="s">
        <v>421</v>
      </c>
    </row>
    <row r="147" spans="1:6" x14ac:dyDescent="0.35">
      <c r="A147" t="s">
        <v>474</v>
      </c>
      <c r="B147" t="str">
        <f t="shared" si="14"/>
        <v>4</v>
      </c>
      <c r="C147" t="str">
        <f t="shared" si="15"/>
        <v>4.1</v>
      </c>
      <c r="D147" t="str">
        <f t="shared" si="6"/>
        <v>4.1-1.</v>
      </c>
      <c r="E147" t="str">
        <f t="shared" si="7"/>
        <v>4.1-1.11</v>
      </c>
      <c r="F147" t="s">
        <v>422</v>
      </c>
    </row>
    <row r="148" spans="1:6" x14ac:dyDescent="0.35">
      <c r="A148" t="s">
        <v>474</v>
      </c>
      <c r="B148" t="str">
        <f t="shared" si="14"/>
        <v>4</v>
      </c>
      <c r="C148" t="str">
        <f t="shared" si="15"/>
        <v>4.1</v>
      </c>
      <c r="D148" t="str">
        <f t="shared" si="6"/>
        <v>4.1-1.</v>
      </c>
      <c r="E148" t="str">
        <f t="shared" si="7"/>
        <v>4.1-1.12</v>
      </c>
      <c r="F148" t="s">
        <v>423</v>
      </c>
    </row>
    <row r="149" spans="1:6" x14ac:dyDescent="0.35">
      <c r="A149" t="s">
        <v>474</v>
      </c>
      <c r="B149" t="str">
        <f t="shared" si="14"/>
        <v>4</v>
      </c>
      <c r="C149" t="str">
        <f t="shared" si="15"/>
        <v>4.1</v>
      </c>
      <c r="D149" t="str">
        <f t="shared" ref="D149:D212" si="16">IF(E149&lt;&gt;"",LEFT(E149,LEN(E149)-2),"")</f>
        <v>4.1-2</v>
      </c>
      <c r="E149" t="str">
        <f t="shared" ref="E149:E212" si="17">IF(F149&lt;&gt;"",TRIM(LEFT(F149,SEARCH(":",F149)-1)),"")</f>
        <v>4.1-2.1</v>
      </c>
      <c r="F149" t="s">
        <v>424</v>
      </c>
    </row>
    <row r="150" spans="1:6" x14ac:dyDescent="0.35">
      <c r="A150" t="s">
        <v>474</v>
      </c>
      <c r="B150" t="str">
        <f t="shared" si="14"/>
        <v>4</v>
      </c>
      <c r="C150" t="str">
        <f t="shared" si="15"/>
        <v>4.1</v>
      </c>
      <c r="D150" t="str">
        <f t="shared" si="16"/>
        <v>4.1-2</v>
      </c>
      <c r="E150" t="str">
        <f t="shared" si="17"/>
        <v>4.1-2.2</v>
      </c>
      <c r="F150" t="s">
        <v>425</v>
      </c>
    </row>
    <row r="151" spans="1:6" x14ac:dyDescent="0.35">
      <c r="A151" t="s">
        <v>474</v>
      </c>
      <c r="B151" t="str">
        <f t="shared" si="14"/>
        <v>4</v>
      </c>
      <c r="C151" t="str">
        <f t="shared" si="15"/>
        <v>4.1</v>
      </c>
      <c r="D151" t="str">
        <f t="shared" si="16"/>
        <v>4.1-2</v>
      </c>
      <c r="E151" t="str">
        <f t="shared" si="17"/>
        <v>4.1-2.3</v>
      </c>
      <c r="F151" t="s">
        <v>426</v>
      </c>
    </row>
    <row r="152" spans="1:6" x14ac:dyDescent="0.35">
      <c r="A152" t="s">
        <v>474</v>
      </c>
      <c r="B152" t="str">
        <f t="shared" si="14"/>
        <v>4</v>
      </c>
      <c r="C152" t="str">
        <f t="shared" si="15"/>
        <v>4.1</v>
      </c>
      <c r="D152" t="str">
        <f t="shared" si="16"/>
        <v>4.1-2</v>
      </c>
      <c r="E152" t="str">
        <f t="shared" si="17"/>
        <v>4.1-2.4</v>
      </c>
      <c r="F152" t="s">
        <v>427</v>
      </c>
    </row>
    <row r="153" spans="1:6" x14ac:dyDescent="0.35">
      <c r="A153" t="s">
        <v>474</v>
      </c>
      <c r="B153" t="str">
        <f t="shared" si="14"/>
        <v>4</v>
      </c>
      <c r="C153" t="str">
        <f t="shared" si="15"/>
        <v>4.1</v>
      </c>
      <c r="D153" t="str">
        <f t="shared" si="16"/>
        <v>4.1-2</v>
      </c>
      <c r="E153" t="str">
        <f t="shared" si="17"/>
        <v>4.1-2.5</v>
      </c>
      <c r="F153" t="s">
        <v>428</v>
      </c>
    </row>
    <row r="154" spans="1:6" x14ac:dyDescent="0.35">
      <c r="A154" t="s">
        <v>474</v>
      </c>
      <c r="B154" t="str">
        <f t="shared" si="14"/>
        <v>4</v>
      </c>
      <c r="C154" t="str">
        <f t="shared" si="15"/>
        <v>4.1</v>
      </c>
      <c r="D154" t="str">
        <f t="shared" si="16"/>
        <v>4.1-2</v>
      </c>
      <c r="E154" t="str">
        <f t="shared" si="17"/>
        <v>4.1-2.6</v>
      </c>
      <c r="F154" t="s">
        <v>429</v>
      </c>
    </row>
    <row r="155" spans="1:6" x14ac:dyDescent="0.35">
      <c r="A155" t="s">
        <v>474</v>
      </c>
      <c r="B155" t="str">
        <f t="shared" si="14"/>
        <v>4</v>
      </c>
      <c r="C155" t="str">
        <f t="shared" si="15"/>
        <v>4.1</v>
      </c>
      <c r="D155" t="str">
        <f t="shared" si="16"/>
        <v>4.1-2</v>
      </c>
      <c r="E155" t="str">
        <f t="shared" si="17"/>
        <v>4.1-2.7</v>
      </c>
      <c r="F155" t="s">
        <v>430</v>
      </c>
    </row>
    <row r="156" spans="1:6" x14ac:dyDescent="0.35">
      <c r="A156" t="s">
        <v>474</v>
      </c>
      <c r="B156" t="str">
        <f t="shared" si="14"/>
        <v>4</v>
      </c>
      <c r="C156" t="str">
        <f t="shared" si="15"/>
        <v>4.1</v>
      </c>
      <c r="D156" t="str">
        <f t="shared" si="16"/>
        <v>4.1-3</v>
      </c>
      <c r="E156" t="str">
        <f t="shared" si="17"/>
        <v>4.1-3.1</v>
      </c>
      <c r="F156" t="s">
        <v>431</v>
      </c>
    </row>
    <row r="157" spans="1:6" x14ac:dyDescent="0.35">
      <c r="A157" t="s">
        <v>474</v>
      </c>
      <c r="B157" t="str">
        <f t="shared" si="14"/>
        <v>4</v>
      </c>
      <c r="C157" t="str">
        <f t="shared" si="15"/>
        <v>4.1</v>
      </c>
      <c r="D157" t="str">
        <f t="shared" si="16"/>
        <v>4.1-3</v>
      </c>
      <c r="E157" t="str">
        <f t="shared" si="17"/>
        <v>4.1-3.2</v>
      </c>
      <c r="F157" t="s">
        <v>432</v>
      </c>
    </row>
    <row r="158" spans="1:6" x14ac:dyDescent="0.35">
      <c r="A158" t="s">
        <v>474</v>
      </c>
      <c r="B158" t="str">
        <f t="shared" si="14"/>
        <v>4</v>
      </c>
      <c r="C158" t="str">
        <f t="shared" si="15"/>
        <v>4.1</v>
      </c>
      <c r="D158" t="str">
        <f t="shared" si="16"/>
        <v>4.1-3</v>
      </c>
      <c r="E158" t="str">
        <f t="shared" si="17"/>
        <v>4.1-3.3</v>
      </c>
      <c r="F158" t="s">
        <v>433</v>
      </c>
    </row>
    <row r="159" spans="1:6" x14ac:dyDescent="0.35">
      <c r="A159" t="s">
        <v>474</v>
      </c>
      <c r="B159" t="str">
        <f t="shared" si="14"/>
        <v>4</v>
      </c>
      <c r="C159" t="str">
        <f t="shared" si="15"/>
        <v>4.1</v>
      </c>
      <c r="D159" t="str">
        <f t="shared" si="16"/>
        <v>4.1-3</v>
      </c>
      <c r="E159" t="str">
        <f t="shared" si="17"/>
        <v>4.1-3.4</v>
      </c>
      <c r="F159" t="s">
        <v>434</v>
      </c>
    </row>
    <row r="160" spans="1:6" x14ac:dyDescent="0.35">
      <c r="A160" t="s">
        <v>474</v>
      </c>
      <c r="B160" t="str">
        <f t="shared" si="14"/>
        <v>4</v>
      </c>
      <c r="C160" t="str">
        <f t="shared" si="15"/>
        <v>4.1</v>
      </c>
      <c r="D160" t="str">
        <f t="shared" si="16"/>
        <v>4.1-3</v>
      </c>
      <c r="E160" t="str">
        <f t="shared" si="17"/>
        <v>4.1-3.5</v>
      </c>
      <c r="F160" t="s">
        <v>435</v>
      </c>
    </row>
    <row r="161" spans="1:6" x14ac:dyDescent="0.35">
      <c r="A161" t="s">
        <v>474</v>
      </c>
      <c r="B161" t="str">
        <f t="shared" si="14"/>
        <v>4</v>
      </c>
      <c r="C161" t="str">
        <f t="shared" si="15"/>
        <v>4.2</v>
      </c>
      <c r="D161" t="str">
        <f t="shared" si="16"/>
        <v>4.2-1</v>
      </c>
      <c r="E161" t="str">
        <f t="shared" si="17"/>
        <v>4.2-1.1</v>
      </c>
      <c r="F161" t="s">
        <v>436</v>
      </c>
    </row>
    <row r="162" spans="1:6" x14ac:dyDescent="0.35">
      <c r="A162" t="s">
        <v>474</v>
      </c>
      <c r="B162" t="str">
        <f t="shared" si="14"/>
        <v>4</v>
      </c>
      <c r="C162" t="str">
        <f t="shared" si="15"/>
        <v>4.2</v>
      </c>
      <c r="D162" t="str">
        <f t="shared" si="16"/>
        <v>4.2-1</v>
      </c>
      <c r="E162" t="str">
        <f t="shared" si="17"/>
        <v>4.2-1.2</v>
      </c>
      <c r="F162" t="s">
        <v>437</v>
      </c>
    </row>
    <row r="163" spans="1:6" x14ac:dyDescent="0.35">
      <c r="A163" t="s">
        <v>474</v>
      </c>
      <c r="B163" t="str">
        <f t="shared" si="14"/>
        <v>4</v>
      </c>
      <c r="C163" t="str">
        <f t="shared" si="15"/>
        <v>4.2</v>
      </c>
      <c r="D163" t="str">
        <f t="shared" si="16"/>
        <v>4.2-1</v>
      </c>
      <c r="E163" t="str">
        <f t="shared" si="17"/>
        <v>4.2-1.3</v>
      </c>
      <c r="F163" t="s">
        <v>438</v>
      </c>
    </row>
    <row r="164" spans="1:6" x14ac:dyDescent="0.35">
      <c r="A164" t="s">
        <v>474</v>
      </c>
      <c r="B164" t="str">
        <f t="shared" si="14"/>
        <v>4</v>
      </c>
      <c r="C164" t="str">
        <f t="shared" si="15"/>
        <v>4.2</v>
      </c>
      <c r="D164" t="str">
        <f t="shared" si="16"/>
        <v>4.2-1</v>
      </c>
      <c r="E164" t="str">
        <f t="shared" si="17"/>
        <v>4.2-1.4</v>
      </c>
      <c r="F164" t="s">
        <v>439</v>
      </c>
    </row>
    <row r="165" spans="1:6" x14ac:dyDescent="0.35">
      <c r="A165" t="s">
        <v>474</v>
      </c>
      <c r="B165" t="str">
        <f t="shared" si="14"/>
        <v>4</v>
      </c>
      <c r="C165" t="str">
        <f t="shared" si="15"/>
        <v>4.2</v>
      </c>
      <c r="D165" t="str">
        <f t="shared" si="16"/>
        <v>4.2-2</v>
      </c>
      <c r="E165" t="str">
        <f t="shared" si="17"/>
        <v>4.2-2.1</v>
      </c>
      <c r="F165" t="s">
        <v>440</v>
      </c>
    </row>
    <row r="166" spans="1:6" x14ac:dyDescent="0.35">
      <c r="A166" t="s">
        <v>474</v>
      </c>
      <c r="B166" t="str">
        <f t="shared" si="14"/>
        <v>4</v>
      </c>
      <c r="C166" t="str">
        <f t="shared" si="15"/>
        <v>4.2</v>
      </c>
      <c r="D166" t="str">
        <f t="shared" si="16"/>
        <v>4.2-2</v>
      </c>
      <c r="E166" t="str">
        <f t="shared" si="17"/>
        <v>4.2-2.2</v>
      </c>
      <c r="F166" t="s">
        <v>441</v>
      </c>
    </row>
    <row r="167" spans="1:6" x14ac:dyDescent="0.35">
      <c r="A167" t="s">
        <v>474</v>
      </c>
      <c r="B167" t="str">
        <f t="shared" si="14"/>
        <v>4</v>
      </c>
      <c r="C167" t="str">
        <f t="shared" si="15"/>
        <v>4.2</v>
      </c>
      <c r="D167" t="str">
        <f t="shared" si="16"/>
        <v>4.2-2</v>
      </c>
      <c r="E167" t="str">
        <f t="shared" si="17"/>
        <v>4.2-2.3</v>
      </c>
      <c r="F167" t="s">
        <v>442</v>
      </c>
    </row>
    <row r="168" spans="1:6" x14ac:dyDescent="0.35">
      <c r="A168" t="s">
        <v>474</v>
      </c>
      <c r="B168" t="str">
        <f t="shared" si="14"/>
        <v>4</v>
      </c>
      <c r="C168" t="str">
        <f t="shared" si="15"/>
        <v>4.2</v>
      </c>
      <c r="D168" t="str">
        <f t="shared" si="16"/>
        <v>4.2-2</v>
      </c>
      <c r="E168" t="str">
        <f t="shared" si="17"/>
        <v>4.2-2.4</v>
      </c>
      <c r="F168" t="s">
        <v>443</v>
      </c>
    </row>
    <row r="169" spans="1:6" x14ac:dyDescent="0.35">
      <c r="A169" t="s">
        <v>474</v>
      </c>
      <c r="B169" t="str">
        <f t="shared" si="14"/>
        <v>4</v>
      </c>
      <c r="C169" t="str">
        <f t="shared" si="15"/>
        <v>4.2</v>
      </c>
      <c r="D169" t="str">
        <f t="shared" si="16"/>
        <v>4.2-2</v>
      </c>
      <c r="E169" t="str">
        <f t="shared" si="17"/>
        <v>4.2-2.5</v>
      </c>
      <c r="F169" t="s">
        <v>444</v>
      </c>
    </row>
    <row r="170" spans="1:6" x14ac:dyDescent="0.35">
      <c r="A170" t="s">
        <v>474</v>
      </c>
      <c r="B170" t="str">
        <f t="shared" si="14"/>
        <v>4</v>
      </c>
      <c r="C170" t="str">
        <f t="shared" si="15"/>
        <v>4.2</v>
      </c>
      <c r="D170" t="str">
        <f t="shared" si="16"/>
        <v>4.2-3</v>
      </c>
      <c r="E170" t="str">
        <f t="shared" si="17"/>
        <v>4.2-3.1</v>
      </c>
      <c r="F170" t="s">
        <v>475</v>
      </c>
    </row>
    <row r="171" spans="1:6" x14ac:dyDescent="0.35">
      <c r="A171" t="s">
        <v>474</v>
      </c>
      <c r="B171" t="str">
        <f t="shared" si="14"/>
        <v>4</v>
      </c>
      <c r="C171" t="str">
        <f t="shared" si="15"/>
        <v>4.2</v>
      </c>
      <c r="D171" t="str">
        <f t="shared" si="16"/>
        <v>4.2-3</v>
      </c>
      <c r="E171" t="str">
        <f t="shared" si="17"/>
        <v>4.2-3.2</v>
      </c>
      <c r="F171" t="s">
        <v>476</v>
      </c>
    </row>
    <row r="172" spans="1:6" x14ac:dyDescent="0.35">
      <c r="A172" t="s">
        <v>474</v>
      </c>
      <c r="B172" t="str">
        <f t="shared" si="14"/>
        <v>4</v>
      </c>
      <c r="C172" t="str">
        <f t="shared" si="15"/>
        <v>4.2</v>
      </c>
      <c r="D172" t="str">
        <f t="shared" si="16"/>
        <v>4.2-3</v>
      </c>
      <c r="E172" t="str">
        <f t="shared" si="17"/>
        <v>4.2-3.3</v>
      </c>
      <c r="F172" t="s">
        <v>477</v>
      </c>
    </row>
    <row r="173" spans="1:6" x14ac:dyDescent="0.35">
      <c r="A173" t="s">
        <v>474</v>
      </c>
      <c r="B173" t="str">
        <f t="shared" si="14"/>
        <v>4</v>
      </c>
      <c r="C173" t="str">
        <f t="shared" si="15"/>
        <v>4.2</v>
      </c>
      <c r="D173" t="str">
        <f t="shared" si="16"/>
        <v>4.2-3</v>
      </c>
      <c r="E173" t="str">
        <f t="shared" si="17"/>
        <v>4.2-3.4</v>
      </c>
      <c r="F173" t="s">
        <v>478</v>
      </c>
    </row>
    <row r="174" spans="1:6" x14ac:dyDescent="0.35">
      <c r="A174" t="s">
        <v>474</v>
      </c>
      <c r="B174" t="str">
        <f t="shared" si="14"/>
        <v>4</v>
      </c>
      <c r="C174" t="str">
        <f t="shared" si="15"/>
        <v>4.2</v>
      </c>
      <c r="D174" t="str">
        <f t="shared" si="16"/>
        <v>4.2-4</v>
      </c>
      <c r="E174" t="str">
        <f t="shared" si="17"/>
        <v>4.2-4.1</v>
      </c>
      <c r="F174" t="s">
        <v>479</v>
      </c>
    </row>
    <row r="175" spans="1:6" x14ac:dyDescent="0.35">
      <c r="A175" t="s">
        <v>474</v>
      </c>
      <c r="B175" t="str">
        <f t="shared" si="14"/>
        <v>4</v>
      </c>
      <c r="C175" t="str">
        <f t="shared" si="15"/>
        <v>4.2</v>
      </c>
      <c r="D175" t="str">
        <f t="shared" si="16"/>
        <v>4.2-4</v>
      </c>
      <c r="E175" t="str">
        <f t="shared" si="17"/>
        <v>4.2-4.2</v>
      </c>
      <c r="F175" t="s">
        <v>480</v>
      </c>
    </row>
    <row r="176" spans="1:6" x14ac:dyDescent="0.35">
      <c r="A176" t="s">
        <v>474</v>
      </c>
      <c r="B176" t="str">
        <f t="shared" si="14"/>
        <v>4</v>
      </c>
      <c r="C176" t="str">
        <f t="shared" si="15"/>
        <v>4.2</v>
      </c>
      <c r="D176" t="str">
        <f t="shared" si="16"/>
        <v>4.2-4</v>
      </c>
      <c r="E176" t="str">
        <f t="shared" si="17"/>
        <v>4.2-4.3</v>
      </c>
      <c r="F176" t="s">
        <v>481</v>
      </c>
    </row>
    <row r="177" spans="1:6" x14ac:dyDescent="0.35">
      <c r="A177" t="s">
        <v>474</v>
      </c>
      <c r="B177" t="str">
        <f t="shared" si="14"/>
        <v>4</v>
      </c>
      <c r="C177" t="str">
        <f t="shared" si="15"/>
        <v>4.2</v>
      </c>
      <c r="D177" t="str">
        <f t="shared" si="16"/>
        <v>4.2-5</v>
      </c>
      <c r="E177" t="str">
        <f t="shared" si="17"/>
        <v>4.2-5.1</v>
      </c>
      <c r="F177" t="s">
        <v>482</v>
      </c>
    </row>
    <row r="178" spans="1:6" x14ac:dyDescent="0.35">
      <c r="A178" t="s">
        <v>474</v>
      </c>
      <c r="B178" t="str">
        <f t="shared" si="14"/>
        <v>4</v>
      </c>
      <c r="C178" t="str">
        <f t="shared" si="15"/>
        <v>4.2</v>
      </c>
      <c r="D178" t="str">
        <f t="shared" si="16"/>
        <v>4.2-5</v>
      </c>
      <c r="E178" t="str">
        <f t="shared" si="17"/>
        <v>4.2-5.2</v>
      </c>
      <c r="F178" t="s">
        <v>483</v>
      </c>
    </row>
    <row r="179" spans="1:6" x14ac:dyDescent="0.35">
      <c r="A179" t="s">
        <v>474</v>
      </c>
      <c r="B179" t="str">
        <f t="shared" si="14"/>
        <v>4</v>
      </c>
      <c r="C179" t="str">
        <f t="shared" si="15"/>
        <v>4.2</v>
      </c>
      <c r="D179" t="str">
        <f t="shared" si="16"/>
        <v>4.2-5</v>
      </c>
      <c r="E179" t="str">
        <f t="shared" si="17"/>
        <v>4.2-5.3</v>
      </c>
      <c r="F179" t="s">
        <v>484</v>
      </c>
    </row>
    <row r="180" spans="1:6" x14ac:dyDescent="0.35">
      <c r="A180" t="s">
        <v>474</v>
      </c>
      <c r="B180" t="str">
        <f t="shared" si="14"/>
        <v>4</v>
      </c>
      <c r="C180" t="str">
        <f t="shared" si="15"/>
        <v>4.2</v>
      </c>
      <c r="D180" t="str">
        <f t="shared" si="16"/>
        <v>4.2-5</v>
      </c>
      <c r="E180" t="str">
        <f t="shared" si="17"/>
        <v>4.2-5.4</v>
      </c>
      <c r="F180" t="s">
        <v>485</v>
      </c>
    </row>
    <row r="181" spans="1:6" x14ac:dyDescent="0.35">
      <c r="A181" t="s">
        <v>474</v>
      </c>
      <c r="B181" t="str">
        <f t="shared" si="14"/>
        <v>4</v>
      </c>
      <c r="C181" t="str">
        <f t="shared" si="15"/>
        <v>4.2</v>
      </c>
      <c r="D181" t="str">
        <f t="shared" si="16"/>
        <v>4.2-5</v>
      </c>
      <c r="E181" t="str">
        <f t="shared" si="17"/>
        <v>4.2-5.5</v>
      </c>
      <c r="F181" t="s">
        <v>486</v>
      </c>
    </row>
    <row r="182" spans="1:6" x14ac:dyDescent="0.35">
      <c r="A182" t="s">
        <v>474</v>
      </c>
      <c r="B182" t="str">
        <f t="shared" si="14"/>
        <v>4</v>
      </c>
      <c r="C182" t="str">
        <f t="shared" si="15"/>
        <v>4.2</v>
      </c>
      <c r="D182" t="str">
        <f t="shared" si="16"/>
        <v>4.2-6</v>
      </c>
      <c r="E182" t="str">
        <f t="shared" si="17"/>
        <v>4.2-6.1</v>
      </c>
      <c r="F182" t="s">
        <v>487</v>
      </c>
    </row>
    <row r="183" spans="1:6" x14ac:dyDescent="0.35">
      <c r="A183" t="s">
        <v>474</v>
      </c>
      <c r="B183" t="str">
        <f t="shared" si="14"/>
        <v>4</v>
      </c>
      <c r="C183" t="str">
        <f t="shared" si="15"/>
        <v>4.2</v>
      </c>
      <c r="D183" t="str">
        <f t="shared" si="16"/>
        <v>4.2-6</v>
      </c>
      <c r="E183" t="str">
        <f t="shared" si="17"/>
        <v>4.2-6.2</v>
      </c>
      <c r="F183" t="s">
        <v>488</v>
      </c>
    </row>
    <row r="184" spans="1:6" x14ac:dyDescent="0.35">
      <c r="A184" t="s">
        <v>474</v>
      </c>
      <c r="B184" t="str">
        <f t="shared" si="14"/>
        <v>4</v>
      </c>
      <c r="C184" t="str">
        <f t="shared" si="15"/>
        <v>4.2</v>
      </c>
      <c r="D184" t="str">
        <f t="shared" si="16"/>
        <v>4.2-6</v>
      </c>
      <c r="E184" t="str">
        <f t="shared" si="17"/>
        <v>4.2-6.3</v>
      </c>
      <c r="F184" t="s">
        <v>489</v>
      </c>
    </row>
    <row r="185" spans="1:6" x14ac:dyDescent="0.35">
      <c r="A185" t="s">
        <v>474</v>
      </c>
      <c r="B185" t="str">
        <f t="shared" si="14"/>
        <v>4</v>
      </c>
      <c r="C185" t="str">
        <f t="shared" si="15"/>
        <v>4.2</v>
      </c>
      <c r="D185" t="str">
        <f t="shared" si="16"/>
        <v>4.2-6</v>
      </c>
      <c r="E185" t="str">
        <f t="shared" si="17"/>
        <v>4.2-6.4</v>
      </c>
      <c r="F185" t="s">
        <v>490</v>
      </c>
    </row>
    <row r="186" spans="1:6" x14ac:dyDescent="0.35">
      <c r="A186" t="s">
        <v>466</v>
      </c>
      <c r="B186" t="str">
        <f t="shared" ref="B186:B245" si="18">IF(F186&lt;&gt;"",LEFT(F186,SEARCH(".",F186)-1),"")</f>
        <v>2</v>
      </c>
      <c r="C186" t="str">
        <f t="shared" ref="C186:C245" si="19">IF(F186&lt;&gt;"",LEFT(F186,SEARCH("-",F186)-1),"")</f>
        <v>2.2</v>
      </c>
      <c r="D186" t="str">
        <f t="shared" si="16"/>
        <v>2.2-1</v>
      </c>
      <c r="E186" t="str">
        <f t="shared" si="17"/>
        <v>2.2-1.4</v>
      </c>
      <c r="F186" t="s">
        <v>352</v>
      </c>
    </row>
    <row r="187" spans="1:6" x14ac:dyDescent="0.35">
      <c r="A187" t="s">
        <v>466</v>
      </c>
      <c r="B187" t="str">
        <f t="shared" si="18"/>
        <v>2</v>
      </c>
      <c r="C187" t="str">
        <f t="shared" si="19"/>
        <v>2.2</v>
      </c>
      <c r="D187" t="str">
        <f t="shared" si="16"/>
        <v>2.2-2</v>
      </c>
      <c r="E187" t="str">
        <f t="shared" si="17"/>
        <v>2.2-2.1</v>
      </c>
      <c r="F187" t="s">
        <v>353</v>
      </c>
    </row>
    <row r="188" spans="1:6" x14ac:dyDescent="0.35">
      <c r="A188" t="s">
        <v>466</v>
      </c>
      <c r="B188" t="str">
        <f t="shared" si="18"/>
        <v>2</v>
      </c>
      <c r="C188" t="str">
        <f t="shared" si="19"/>
        <v>2.2</v>
      </c>
      <c r="D188" t="str">
        <f t="shared" si="16"/>
        <v>2.2-2</v>
      </c>
      <c r="E188" t="str">
        <f t="shared" si="17"/>
        <v>2.2-2.2</v>
      </c>
      <c r="F188" t="s">
        <v>354</v>
      </c>
    </row>
    <row r="189" spans="1:6" x14ac:dyDescent="0.35">
      <c r="A189" t="s">
        <v>466</v>
      </c>
      <c r="B189" t="str">
        <f t="shared" si="18"/>
        <v>2</v>
      </c>
      <c r="C189" t="str">
        <f t="shared" si="19"/>
        <v>2.2</v>
      </c>
      <c r="D189" t="str">
        <f t="shared" si="16"/>
        <v>2.2-2</v>
      </c>
      <c r="E189" t="str">
        <f t="shared" si="17"/>
        <v>2.2-2.3</v>
      </c>
      <c r="F189" t="s">
        <v>355</v>
      </c>
    </row>
    <row r="190" spans="1:6" x14ac:dyDescent="0.35">
      <c r="A190" t="s">
        <v>466</v>
      </c>
      <c r="B190" t="str">
        <f t="shared" si="18"/>
        <v>2</v>
      </c>
      <c r="C190" t="str">
        <f t="shared" si="19"/>
        <v>2.2</v>
      </c>
      <c r="D190" t="str">
        <f t="shared" si="16"/>
        <v>2.2-2</v>
      </c>
      <c r="E190" t="str">
        <f t="shared" si="17"/>
        <v>2.2-2.4</v>
      </c>
      <c r="F190" t="s">
        <v>356</v>
      </c>
    </row>
    <row r="191" spans="1:6" x14ac:dyDescent="0.35">
      <c r="A191" t="s">
        <v>466</v>
      </c>
      <c r="B191" t="str">
        <f t="shared" si="18"/>
        <v>2</v>
      </c>
      <c r="C191" t="str">
        <f t="shared" si="19"/>
        <v>2.2</v>
      </c>
      <c r="D191" t="str">
        <f t="shared" si="16"/>
        <v>2.2-2</v>
      </c>
      <c r="E191" t="str">
        <f t="shared" si="17"/>
        <v>2.2-2.5</v>
      </c>
      <c r="F191" t="s">
        <v>357</v>
      </c>
    </row>
    <row r="192" spans="1:6" x14ac:dyDescent="0.35">
      <c r="A192" t="s">
        <v>466</v>
      </c>
      <c r="B192" t="str">
        <f t="shared" si="18"/>
        <v>2</v>
      </c>
      <c r="C192" t="str">
        <f t="shared" si="19"/>
        <v>2.2</v>
      </c>
      <c r="D192" t="str">
        <f t="shared" si="16"/>
        <v>2.2-3</v>
      </c>
      <c r="E192" t="str">
        <f t="shared" si="17"/>
        <v>2.2-3.1</v>
      </c>
      <c r="F192" t="s">
        <v>358</v>
      </c>
    </row>
    <row r="193" spans="1:6" x14ac:dyDescent="0.35">
      <c r="A193" t="s">
        <v>466</v>
      </c>
      <c r="B193" t="str">
        <f t="shared" si="18"/>
        <v>2</v>
      </c>
      <c r="C193" t="str">
        <f t="shared" si="19"/>
        <v>2.2</v>
      </c>
      <c r="D193" t="str">
        <f t="shared" si="16"/>
        <v>2.2-3</v>
      </c>
      <c r="E193" t="str">
        <f t="shared" si="17"/>
        <v>2.2-3.2</v>
      </c>
      <c r="F193" t="s">
        <v>359</v>
      </c>
    </row>
    <row r="194" spans="1:6" x14ac:dyDescent="0.35">
      <c r="A194" t="s">
        <v>466</v>
      </c>
      <c r="B194" t="str">
        <f t="shared" si="18"/>
        <v>2</v>
      </c>
      <c r="C194" t="str">
        <f t="shared" si="19"/>
        <v>2.2</v>
      </c>
      <c r="D194" t="str">
        <f t="shared" si="16"/>
        <v>2.2-4</v>
      </c>
      <c r="E194" t="str">
        <f t="shared" si="17"/>
        <v>2.2-4.1</v>
      </c>
      <c r="F194" t="s">
        <v>360</v>
      </c>
    </row>
    <row r="195" spans="1:6" x14ac:dyDescent="0.35">
      <c r="A195" t="s">
        <v>466</v>
      </c>
      <c r="B195" t="str">
        <f t="shared" si="18"/>
        <v>2</v>
      </c>
      <c r="C195" t="str">
        <f t="shared" si="19"/>
        <v>2.2</v>
      </c>
      <c r="D195" t="str">
        <f t="shared" si="16"/>
        <v>2.2-5</v>
      </c>
      <c r="E195" t="str">
        <f t="shared" si="17"/>
        <v>2.2-5.1</v>
      </c>
      <c r="F195" t="s">
        <v>361</v>
      </c>
    </row>
    <row r="196" spans="1:6" x14ac:dyDescent="0.35">
      <c r="A196" t="s">
        <v>466</v>
      </c>
      <c r="B196" t="str">
        <f t="shared" si="18"/>
        <v>2</v>
      </c>
      <c r="C196" t="str">
        <f t="shared" si="19"/>
        <v>2.2</v>
      </c>
      <c r="D196" t="str">
        <f t="shared" si="16"/>
        <v>2.2-5</v>
      </c>
      <c r="E196" t="str">
        <f t="shared" si="17"/>
        <v>2.2-5.2</v>
      </c>
      <c r="F196" t="s">
        <v>362</v>
      </c>
    </row>
    <row r="197" spans="1:6" x14ac:dyDescent="0.35">
      <c r="A197" t="s">
        <v>466</v>
      </c>
      <c r="B197" t="str">
        <f t="shared" si="18"/>
        <v>2</v>
      </c>
      <c r="C197" t="str">
        <f t="shared" si="19"/>
        <v>2.2</v>
      </c>
      <c r="D197" t="str">
        <f t="shared" si="16"/>
        <v>2.2-5</v>
      </c>
      <c r="E197" t="str">
        <f t="shared" si="17"/>
        <v>2.2-5.3</v>
      </c>
      <c r="F197" t="s">
        <v>363</v>
      </c>
    </row>
    <row r="198" spans="1:6" x14ac:dyDescent="0.35">
      <c r="A198" t="s">
        <v>466</v>
      </c>
      <c r="B198" t="str">
        <f t="shared" si="18"/>
        <v>2</v>
      </c>
      <c r="C198" t="str">
        <f t="shared" si="19"/>
        <v>2.2</v>
      </c>
      <c r="D198" t="str">
        <f t="shared" si="16"/>
        <v>2.2-5</v>
      </c>
      <c r="E198" t="str">
        <f t="shared" si="17"/>
        <v>2.2-5.4</v>
      </c>
      <c r="F198" t="s">
        <v>364</v>
      </c>
    </row>
    <row r="199" spans="1:6" x14ac:dyDescent="0.35">
      <c r="A199" t="s">
        <v>466</v>
      </c>
      <c r="B199" t="str">
        <f t="shared" si="18"/>
        <v>2</v>
      </c>
      <c r="C199" t="str">
        <f t="shared" si="19"/>
        <v>2.2</v>
      </c>
      <c r="D199" t="str">
        <f t="shared" si="16"/>
        <v>2.2-5</v>
      </c>
      <c r="E199" t="str">
        <f t="shared" si="17"/>
        <v>2.2-5.5</v>
      </c>
      <c r="F199" t="s">
        <v>365</v>
      </c>
    </row>
    <row r="200" spans="1:6" x14ac:dyDescent="0.35">
      <c r="A200" t="s">
        <v>466</v>
      </c>
      <c r="B200" t="str">
        <f t="shared" si="18"/>
        <v>2</v>
      </c>
      <c r="C200" t="str">
        <f t="shared" si="19"/>
        <v>2.2</v>
      </c>
      <c r="D200" t="str">
        <f t="shared" si="16"/>
        <v>2.2-5</v>
      </c>
      <c r="E200" t="str">
        <f t="shared" si="17"/>
        <v>2.2-5.6</v>
      </c>
      <c r="F200" t="s">
        <v>366</v>
      </c>
    </row>
    <row r="201" spans="1:6" x14ac:dyDescent="0.35">
      <c r="A201" t="s">
        <v>466</v>
      </c>
      <c r="B201" t="str">
        <f t="shared" si="18"/>
        <v>2</v>
      </c>
      <c r="C201" t="str">
        <f t="shared" si="19"/>
        <v>2.2</v>
      </c>
      <c r="D201" t="str">
        <f t="shared" si="16"/>
        <v>2.2-5</v>
      </c>
      <c r="E201" t="str">
        <f t="shared" si="17"/>
        <v>2.2-5.7</v>
      </c>
      <c r="F201" t="s">
        <v>367</v>
      </c>
    </row>
    <row r="202" spans="1:6" x14ac:dyDescent="0.35">
      <c r="A202" t="s">
        <v>466</v>
      </c>
      <c r="B202" t="str">
        <f t="shared" si="18"/>
        <v>2</v>
      </c>
      <c r="C202" t="str">
        <f t="shared" si="19"/>
        <v>2.2</v>
      </c>
      <c r="D202" t="str">
        <f t="shared" si="16"/>
        <v>2.2-5</v>
      </c>
      <c r="E202" t="str">
        <f t="shared" si="17"/>
        <v>2.2-5.8</v>
      </c>
      <c r="F202" t="s">
        <v>368</v>
      </c>
    </row>
    <row r="203" spans="1:6" x14ac:dyDescent="0.35">
      <c r="A203" t="s">
        <v>466</v>
      </c>
      <c r="B203" t="str">
        <f t="shared" si="18"/>
        <v>2</v>
      </c>
      <c r="C203" t="str">
        <f t="shared" si="19"/>
        <v>2.2</v>
      </c>
      <c r="D203" t="str">
        <f t="shared" si="16"/>
        <v>2.2-6</v>
      </c>
      <c r="E203" t="str">
        <f t="shared" si="17"/>
        <v>2.2-6.1</v>
      </c>
      <c r="F203" t="s">
        <v>369</v>
      </c>
    </row>
    <row r="204" spans="1:6" x14ac:dyDescent="0.35">
      <c r="A204" t="s">
        <v>466</v>
      </c>
      <c r="B204" t="str">
        <f t="shared" si="18"/>
        <v>2</v>
      </c>
      <c r="C204" t="str">
        <f t="shared" si="19"/>
        <v>2.2</v>
      </c>
      <c r="D204" t="str">
        <f t="shared" si="16"/>
        <v>2.2-6</v>
      </c>
      <c r="E204" t="str">
        <f t="shared" si="17"/>
        <v>2.2-6.2</v>
      </c>
      <c r="F204" t="s">
        <v>370</v>
      </c>
    </row>
    <row r="205" spans="1:6" x14ac:dyDescent="0.35">
      <c r="A205" t="s">
        <v>466</v>
      </c>
      <c r="B205" t="str">
        <f t="shared" si="18"/>
        <v>2</v>
      </c>
      <c r="C205" t="str">
        <f t="shared" si="19"/>
        <v>2.2</v>
      </c>
      <c r="D205" t="str">
        <f t="shared" si="16"/>
        <v>2.2-6</v>
      </c>
      <c r="E205" t="str">
        <f t="shared" si="17"/>
        <v>2.2-6.3</v>
      </c>
      <c r="F205" t="s">
        <v>371</v>
      </c>
    </row>
    <row r="206" spans="1:6" x14ac:dyDescent="0.35">
      <c r="A206" t="s">
        <v>466</v>
      </c>
      <c r="B206" t="str">
        <f t="shared" si="18"/>
        <v>2</v>
      </c>
      <c r="C206" t="str">
        <f t="shared" si="19"/>
        <v>2.2</v>
      </c>
      <c r="D206" t="str">
        <f t="shared" si="16"/>
        <v>2.2-6</v>
      </c>
      <c r="E206" t="str">
        <f t="shared" si="17"/>
        <v>2.2-6.4</v>
      </c>
      <c r="F206" t="s">
        <v>372</v>
      </c>
    </row>
    <row r="207" spans="1:6" x14ac:dyDescent="0.35">
      <c r="A207" t="s">
        <v>466</v>
      </c>
      <c r="B207" t="str">
        <f t="shared" si="18"/>
        <v>2</v>
      </c>
      <c r="C207" t="str">
        <f t="shared" si="19"/>
        <v>2.2</v>
      </c>
      <c r="D207" t="str">
        <f t="shared" si="16"/>
        <v>2.2-6</v>
      </c>
      <c r="E207" t="str">
        <f t="shared" si="17"/>
        <v>2.2-6.5</v>
      </c>
      <c r="F207" t="s">
        <v>373</v>
      </c>
    </row>
    <row r="208" spans="1:6" x14ac:dyDescent="0.35">
      <c r="A208" t="s">
        <v>466</v>
      </c>
      <c r="B208" t="str">
        <f t="shared" si="18"/>
        <v>2</v>
      </c>
      <c r="C208" t="str">
        <f t="shared" si="19"/>
        <v>2.2</v>
      </c>
      <c r="D208" t="str">
        <f t="shared" si="16"/>
        <v>2.2-7</v>
      </c>
      <c r="E208" t="str">
        <f t="shared" si="17"/>
        <v>2.2-7.1</v>
      </c>
      <c r="F208" t="s">
        <v>374</v>
      </c>
    </row>
    <row r="209" spans="1:6" x14ac:dyDescent="0.35">
      <c r="A209" t="s">
        <v>466</v>
      </c>
      <c r="B209" t="str">
        <f t="shared" si="18"/>
        <v>2</v>
      </c>
      <c r="C209" t="str">
        <f t="shared" si="19"/>
        <v>2.2</v>
      </c>
      <c r="D209" t="str">
        <f t="shared" si="16"/>
        <v>2.2-7</v>
      </c>
      <c r="E209" t="str">
        <f t="shared" si="17"/>
        <v>2.2-7.2</v>
      </c>
      <c r="F209" t="s">
        <v>375</v>
      </c>
    </row>
    <row r="210" spans="1:6" x14ac:dyDescent="0.35">
      <c r="A210" t="s">
        <v>466</v>
      </c>
      <c r="B210" t="str">
        <f t="shared" si="18"/>
        <v>2</v>
      </c>
      <c r="C210" t="str">
        <f t="shared" si="19"/>
        <v>2.2</v>
      </c>
      <c r="D210" t="str">
        <f t="shared" si="16"/>
        <v>2.2-7</v>
      </c>
      <c r="E210" t="str">
        <f t="shared" si="17"/>
        <v>2.2-7.3</v>
      </c>
      <c r="F210" t="s">
        <v>376</v>
      </c>
    </row>
    <row r="211" spans="1:6" x14ac:dyDescent="0.35">
      <c r="A211" t="s">
        <v>466</v>
      </c>
      <c r="B211" t="str">
        <f t="shared" si="18"/>
        <v>2</v>
      </c>
      <c r="C211" t="str">
        <f t="shared" si="19"/>
        <v>2.2</v>
      </c>
      <c r="D211" t="str">
        <f t="shared" si="16"/>
        <v>2.2-7</v>
      </c>
      <c r="E211" t="str">
        <f t="shared" si="17"/>
        <v>2.2-7.4</v>
      </c>
      <c r="F211" t="s">
        <v>377</v>
      </c>
    </row>
    <row r="212" spans="1:6" x14ac:dyDescent="0.35">
      <c r="A212" t="s">
        <v>466</v>
      </c>
      <c r="B212" t="str">
        <f t="shared" si="18"/>
        <v>2</v>
      </c>
      <c r="C212" t="str">
        <f t="shared" si="19"/>
        <v>2.2</v>
      </c>
      <c r="D212" t="str">
        <f t="shared" si="16"/>
        <v>2.2-7</v>
      </c>
      <c r="E212" t="str">
        <f t="shared" si="17"/>
        <v>2.2-7.5</v>
      </c>
      <c r="F212" t="s">
        <v>378</v>
      </c>
    </row>
    <row r="213" spans="1:6" x14ac:dyDescent="0.35">
      <c r="A213" t="s">
        <v>466</v>
      </c>
      <c r="B213" t="str">
        <f t="shared" si="18"/>
        <v>2</v>
      </c>
      <c r="C213" t="str">
        <f t="shared" si="19"/>
        <v>2.2</v>
      </c>
      <c r="D213" t="str">
        <f t="shared" ref="D213:D276" si="20">IF(E213&lt;&gt;"",LEFT(E213,LEN(E213)-2),"")</f>
        <v>2.2-7</v>
      </c>
      <c r="E213" t="str">
        <f t="shared" ref="E213:E276" si="21">IF(F213&lt;&gt;"",TRIM(LEFT(F213,SEARCH(":",F213)-1)),"")</f>
        <v>2.2-7.6</v>
      </c>
      <c r="F213" t="s">
        <v>379</v>
      </c>
    </row>
    <row r="214" spans="1:6" x14ac:dyDescent="0.35">
      <c r="A214" t="s">
        <v>466</v>
      </c>
      <c r="B214" t="str">
        <f t="shared" si="18"/>
        <v>2</v>
      </c>
      <c r="C214" t="str">
        <f t="shared" si="19"/>
        <v>2.6</v>
      </c>
      <c r="D214" t="str">
        <f t="shared" si="20"/>
        <v>2.6-1</v>
      </c>
      <c r="E214" t="str">
        <f t="shared" si="21"/>
        <v>2.6-1.1</v>
      </c>
      <c r="F214" t="s">
        <v>380</v>
      </c>
    </row>
    <row r="215" spans="1:6" x14ac:dyDescent="0.35">
      <c r="A215" t="s">
        <v>466</v>
      </c>
      <c r="B215" t="str">
        <f t="shared" si="18"/>
        <v>2</v>
      </c>
      <c r="C215" t="str">
        <f t="shared" si="19"/>
        <v>2.6</v>
      </c>
      <c r="D215" t="str">
        <f t="shared" si="20"/>
        <v>2.6-1</v>
      </c>
      <c r="E215" t="str">
        <f t="shared" si="21"/>
        <v>2.6-1.2</v>
      </c>
      <c r="F215" t="s">
        <v>381</v>
      </c>
    </row>
    <row r="216" spans="1:6" x14ac:dyDescent="0.35">
      <c r="A216" t="s">
        <v>466</v>
      </c>
      <c r="B216" t="str">
        <f t="shared" si="18"/>
        <v>2</v>
      </c>
      <c r="C216" t="str">
        <f t="shared" si="19"/>
        <v>2.6</v>
      </c>
      <c r="D216" t="str">
        <f t="shared" si="20"/>
        <v>2.6-1</v>
      </c>
      <c r="E216" t="str">
        <f t="shared" si="21"/>
        <v>2.6-1.3</v>
      </c>
      <c r="F216" t="s">
        <v>382</v>
      </c>
    </row>
    <row r="217" spans="1:6" x14ac:dyDescent="0.35">
      <c r="A217" t="s">
        <v>466</v>
      </c>
      <c r="B217" t="str">
        <f t="shared" si="18"/>
        <v>2</v>
      </c>
      <c r="C217" t="str">
        <f t="shared" si="19"/>
        <v>2.6</v>
      </c>
      <c r="D217" t="str">
        <f t="shared" si="20"/>
        <v>2.6-2</v>
      </c>
      <c r="E217" t="str">
        <f t="shared" si="21"/>
        <v>2.6-2.1</v>
      </c>
      <c r="F217" t="s">
        <v>383</v>
      </c>
    </row>
    <row r="218" spans="1:6" x14ac:dyDescent="0.35">
      <c r="A218" t="s">
        <v>466</v>
      </c>
      <c r="B218" t="str">
        <f t="shared" si="18"/>
        <v>2</v>
      </c>
      <c r="C218" t="str">
        <f t="shared" si="19"/>
        <v>2.6</v>
      </c>
      <c r="D218" t="str">
        <f t="shared" si="20"/>
        <v>2.6-2</v>
      </c>
      <c r="E218" t="str">
        <f t="shared" si="21"/>
        <v>2.6-2.2</v>
      </c>
      <c r="F218" t="s">
        <v>384</v>
      </c>
    </row>
    <row r="219" spans="1:6" x14ac:dyDescent="0.35">
      <c r="A219" t="s">
        <v>466</v>
      </c>
      <c r="B219" t="str">
        <f t="shared" si="18"/>
        <v>2</v>
      </c>
      <c r="C219" t="str">
        <f t="shared" si="19"/>
        <v>2.6</v>
      </c>
      <c r="D219" t="str">
        <f t="shared" si="20"/>
        <v>2.6-2</v>
      </c>
      <c r="E219" t="str">
        <f t="shared" si="21"/>
        <v>2.6-2.3</v>
      </c>
      <c r="F219" t="s">
        <v>385</v>
      </c>
    </row>
    <row r="220" spans="1:6" x14ac:dyDescent="0.35">
      <c r="A220" t="s">
        <v>466</v>
      </c>
      <c r="B220" t="str">
        <f t="shared" si="18"/>
        <v>2</v>
      </c>
      <c r="C220" t="str">
        <f t="shared" si="19"/>
        <v>2.6</v>
      </c>
      <c r="D220" t="str">
        <f t="shared" si="20"/>
        <v>2.6-2</v>
      </c>
      <c r="E220" t="str">
        <f t="shared" si="21"/>
        <v>2.6-2.4</v>
      </c>
      <c r="F220" t="s">
        <v>386</v>
      </c>
    </row>
    <row r="221" spans="1:6" x14ac:dyDescent="0.35">
      <c r="A221" t="s">
        <v>466</v>
      </c>
      <c r="B221" t="str">
        <f t="shared" si="18"/>
        <v>2</v>
      </c>
      <c r="C221" t="str">
        <f t="shared" si="19"/>
        <v>2.6</v>
      </c>
      <c r="D221" t="str">
        <f t="shared" si="20"/>
        <v>2.6-2</v>
      </c>
      <c r="E221" t="str">
        <f t="shared" si="21"/>
        <v>2.6-2.5</v>
      </c>
      <c r="F221" t="s">
        <v>387</v>
      </c>
    </row>
    <row r="222" spans="1:6" x14ac:dyDescent="0.35">
      <c r="A222" t="s">
        <v>466</v>
      </c>
      <c r="B222" t="str">
        <f t="shared" si="18"/>
        <v>2</v>
      </c>
      <c r="C222" t="str">
        <f t="shared" si="19"/>
        <v>2.6</v>
      </c>
      <c r="D222" t="str">
        <f t="shared" si="20"/>
        <v>2.6-3</v>
      </c>
      <c r="E222" t="str">
        <f t="shared" si="21"/>
        <v>2.6-3.1</v>
      </c>
      <c r="F222" t="s">
        <v>388</v>
      </c>
    </row>
    <row r="223" spans="1:6" x14ac:dyDescent="0.35">
      <c r="A223" t="s">
        <v>466</v>
      </c>
      <c r="B223" t="str">
        <f t="shared" si="18"/>
        <v>2</v>
      </c>
      <c r="C223" t="str">
        <f t="shared" si="19"/>
        <v>2.6</v>
      </c>
      <c r="D223" t="str">
        <f t="shared" si="20"/>
        <v>2.6-3</v>
      </c>
      <c r="E223" t="str">
        <f t="shared" si="21"/>
        <v>2.6-3.2</v>
      </c>
      <c r="F223" t="s">
        <v>389</v>
      </c>
    </row>
    <row r="224" spans="1:6" x14ac:dyDescent="0.35">
      <c r="A224" t="s">
        <v>466</v>
      </c>
      <c r="B224" t="str">
        <f t="shared" si="18"/>
        <v>2</v>
      </c>
      <c r="C224" t="str">
        <f t="shared" si="19"/>
        <v>2.6</v>
      </c>
      <c r="D224" t="str">
        <f t="shared" si="20"/>
        <v>2.6-3</v>
      </c>
      <c r="E224" t="str">
        <f t="shared" si="21"/>
        <v>2.6-3.3</v>
      </c>
      <c r="F224" t="s">
        <v>390</v>
      </c>
    </row>
    <row r="225" spans="1:6" x14ac:dyDescent="0.35">
      <c r="A225" t="s">
        <v>466</v>
      </c>
      <c r="B225" t="str">
        <f t="shared" si="18"/>
        <v>2</v>
      </c>
      <c r="C225" t="str">
        <f t="shared" si="19"/>
        <v>2.6</v>
      </c>
      <c r="D225" t="str">
        <f t="shared" si="20"/>
        <v>2.6-4</v>
      </c>
      <c r="E225" t="str">
        <f t="shared" si="21"/>
        <v>2.6-4.1</v>
      </c>
      <c r="F225" t="s">
        <v>391</v>
      </c>
    </row>
    <row r="226" spans="1:6" x14ac:dyDescent="0.35">
      <c r="A226" t="s">
        <v>466</v>
      </c>
      <c r="B226" t="str">
        <f t="shared" si="18"/>
        <v>2</v>
      </c>
      <c r="C226" t="str">
        <f t="shared" si="19"/>
        <v>2.6</v>
      </c>
      <c r="D226" t="str">
        <f t="shared" si="20"/>
        <v>2.6-5</v>
      </c>
      <c r="E226" t="str">
        <f t="shared" si="21"/>
        <v>2.6-5.1</v>
      </c>
      <c r="F226" t="s">
        <v>392</v>
      </c>
    </row>
    <row r="227" spans="1:6" x14ac:dyDescent="0.35">
      <c r="A227" t="s">
        <v>466</v>
      </c>
      <c r="B227" t="str">
        <f t="shared" si="18"/>
        <v>2</v>
      </c>
      <c r="C227" t="str">
        <f t="shared" si="19"/>
        <v>2.6</v>
      </c>
      <c r="D227" t="str">
        <f t="shared" si="20"/>
        <v>2.6-5</v>
      </c>
      <c r="E227" t="str">
        <f t="shared" si="21"/>
        <v>2.6-5.2</v>
      </c>
      <c r="F227" t="s">
        <v>393</v>
      </c>
    </row>
    <row r="228" spans="1:6" x14ac:dyDescent="0.35">
      <c r="A228" t="s">
        <v>466</v>
      </c>
      <c r="B228" t="str">
        <f t="shared" si="18"/>
        <v>2</v>
      </c>
      <c r="C228" t="str">
        <f t="shared" si="19"/>
        <v>2.6</v>
      </c>
      <c r="D228" t="str">
        <f t="shared" si="20"/>
        <v>2.6-5</v>
      </c>
      <c r="E228" t="str">
        <f t="shared" si="21"/>
        <v>2.6-5.3</v>
      </c>
      <c r="F228" t="s">
        <v>394</v>
      </c>
    </row>
    <row r="229" spans="1:6" x14ac:dyDescent="0.35">
      <c r="A229" t="s">
        <v>466</v>
      </c>
      <c r="B229" t="str">
        <f t="shared" si="18"/>
        <v>2</v>
      </c>
      <c r="C229" t="str">
        <f t="shared" si="19"/>
        <v>2.6</v>
      </c>
      <c r="D229" t="str">
        <f t="shared" si="20"/>
        <v>2.6-5</v>
      </c>
      <c r="E229" t="str">
        <f t="shared" si="21"/>
        <v>2.6-5.4</v>
      </c>
      <c r="F229" t="s">
        <v>395</v>
      </c>
    </row>
    <row r="230" spans="1:6" x14ac:dyDescent="0.35">
      <c r="A230" t="s">
        <v>466</v>
      </c>
      <c r="B230" t="str">
        <f t="shared" si="18"/>
        <v>2</v>
      </c>
      <c r="C230" t="str">
        <f t="shared" si="19"/>
        <v>2.6</v>
      </c>
      <c r="D230" t="str">
        <f t="shared" si="20"/>
        <v>2.6-5</v>
      </c>
      <c r="E230" t="str">
        <f t="shared" si="21"/>
        <v>2.6-5.5</v>
      </c>
      <c r="F230" t="s">
        <v>396</v>
      </c>
    </row>
    <row r="231" spans="1:6" x14ac:dyDescent="0.35">
      <c r="A231" t="s">
        <v>466</v>
      </c>
      <c r="B231" t="str">
        <f t="shared" si="18"/>
        <v>2</v>
      </c>
      <c r="C231" t="str">
        <f t="shared" si="19"/>
        <v>2.6</v>
      </c>
      <c r="D231" t="str">
        <f t="shared" si="20"/>
        <v>2.6-5</v>
      </c>
      <c r="E231" t="str">
        <f t="shared" si="21"/>
        <v>2.6-5.6</v>
      </c>
      <c r="F231" t="s">
        <v>397</v>
      </c>
    </row>
    <row r="232" spans="1:6" x14ac:dyDescent="0.35">
      <c r="A232" t="s">
        <v>466</v>
      </c>
      <c r="B232" t="str">
        <f t="shared" si="18"/>
        <v>2</v>
      </c>
      <c r="C232" t="str">
        <f t="shared" si="19"/>
        <v>2.6</v>
      </c>
      <c r="D232" t="str">
        <f t="shared" si="20"/>
        <v>2.6-5</v>
      </c>
      <c r="E232" t="str">
        <f t="shared" si="21"/>
        <v>2.6-5.7</v>
      </c>
      <c r="F232" t="s">
        <v>398</v>
      </c>
    </row>
    <row r="233" spans="1:6" x14ac:dyDescent="0.35">
      <c r="A233" t="s">
        <v>466</v>
      </c>
      <c r="B233" t="str">
        <f t="shared" si="18"/>
        <v>2</v>
      </c>
      <c r="C233" t="str">
        <f t="shared" si="19"/>
        <v>2.6</v>
      </c>
      <c r="D233" t="str">
        <f t="shared" si="20"/>
        <v>2.6-5</v>
      </c>
      <c r="E233" t="str">
        <f t="shared" si="21"/>
        <v>2.6-5.8</v>
      </c>
      <c r="F233" t="s">
        <v>399</v>
      </c>
    </row>
    <row r="234" spans="1:6" x14ac:dyDescent="0.35">
      <c r="A234" t="s">
        <v>466</v>
      </c>
      <c r="B234" t="str">
        <f t="shared" si="18"/>
        <v>2</v>
      </c>
      <c r="C234" t="str">
        <f t="shared" si="19"/>
        <v>2.6</v>
      </c>
      <c r="D234" t="str">
        <f t="shared" si="20"/>
        <v>2.6-5</v>
      </c>
      <c r="E234" t="str">
        <f t="shared" si="21"/>
        <v>2.6-5.9</v>
      </c>
      <c r="F234" t="s">
        <v>400</v>
      </c>
    </row>
    <row r="235" spans="1:6" x14ac:dyDescent="0.35">
      <c r="A235" t="s">
        <v>466</v>
      </c>
      <c r="B235" t="str">
        <f t="shared" si="18"/>
        <v>2</v>
      </c>
      <c r="C235" t="str">
        <f t="shared" si="19"/>
        <v>2.6</v>
      </c>
      <c r="D235" t="str">
        <f t="shared" si="20"/>
        <v>2.6-6</v>
      </c>
      <c r="E235" t="str">
        <f t="shared" si="21"/>
        <v>2.6-6.1</v>
      </c>
      <c r="F235" t="s">
        <v>401</v>
      </c>
    </row>
    <row r="236" spans="1:6" x14ac:dyDescent="0.35">
      <c r="A236" t="s">
        <v>466</v>
      </c>
      <c r="B236" t="str">
        <f t="shared" si="18"/>
        <v>2</v>
      </c>
      <c r="C236" t="str">
        <f t="shared" si="19"/>
        <v>2.6</v>
      </c>
      <c r="D236" t="str">
        <f t="shared" si="20"/>
        <v>2.6-7</v>
      </c>
      <c r="E236" t="str">
        <f t="shared" si="21"/>
        <v>2.6-7.1</v>
      </c>
      <c r="F236" t="s">
        <v>402</v>
      </c>
    </row>
    <row r="237" spans="1:6" x14ac:dyDescent="0.35">
      <c r="A237" t="s">
        <v>466</v>
      </c>
      <c r="B237" t="str">
        <f t="shared" si="18"/>
        <v>2</v>
      </c>
      <c r="C237" t="str">
        <f t="shared" si="19"/>
        <v>2.6</v>
      </c>
      <c r="D237" t="str">
        <f t="shared" si="20"/>
        <v>2.6-8</v>
      </c>
      <c r="E237" t="str">
        <f t="shared" si="21"/>
        <v>2.6-8.1</v>
      </c>
      <c r="F237" t="s">
        <v>403</v>
      </c>
    </row>
    <row r="238" spans="1:6" x14ac:dyDescent="0.35">
      <c r="A238" t="s">
        <v>466</v>
      </c>
      <c r="B238" t="str">
        <f t="shared" si="18"/>
        <v>2</v>
      </c>
      <c r="C238" t="str">
        <f t="shared" si="19"/>
        <v>2.6</v>
      </c>
      <c r="D238" t="str">
        <f t="shared" si="20"/>
        <v>2.6-9</v>
      </c>
      <c r="E238" t="str">
        <f t="shared" si="21"/>
        <v>2.6-9.1</v>
      </c>
      <c r="F238" t="s">
        <v>404</v>
      </c>
    </row>
    <row r="239" spans="1:6" x14ac:dyDescent="0.35">
      <c r="A239" t="s">
        <v>466</v>
      </c>
      <c r="B239" t="str">
        <f t="shared" si="18"/>
        <v>3</v>
      </c>
      <c r="C239" t="str">
        <f t="shared" si="19"/>
        <v>3.1</v>
      </c>
      <c r="D239" t="str">
        <f t="shared" si="20"/>
        <v>3.1-1</v>
      </c>
      <c r="E239" t="str">
        <f t="shared" si="21"/>
        <v>3.1-1.1</v>
      </c>
      <c r="F239" t="s">
        <v>405</v>
      </c>
    </row>
    <row r="240" spans="1:6" x14ac:dyDescent="0.35">
      <c r="A240" t="s">
        <v>466</v>
      </c>
      <c r="B240" t="str">
        <f t="shared" si="18"/>
        <v>3</v>
      </c>
      <c r="C240" t="str">
        <f t="shared" si="19"/>
        <v>3.1</v>
      </c>
      <c r="D240" t="str">
        <f t="shared" si="20"/>
        <v>3.1-1</v>
      </c>
      <c r="E240" t="str">
        <f t="shared" si="21"/>
        <v>3.1-1.2</v>
      </c>
      <c r="F240" t="s">
        <v>406</v>
      </c>
    </row>
    <row r="241" spans="1:6" x14ac:dyDescent="0.35">
      <c r="A241" t="s">
        <v>466</v>
      </c>
      <c r="B241" t="str">
        <f t="shared" si="18"/>
        <v>3</v>
      </c>
      <c r="C241" t="str">
        <f t="shared" si="19"/>
        <v>3.1</v>
      </c>
      <c r="D241" t="str">
        <f t="shared" si="20"/>
        <v>3.1-1</v>
      </c>
      <c r="E241" t="str">
        <f t="shared" si="21"/>
        <v>3.1-1.3</v>
      </c>
      <c r="F241" t="s">
        <v>407</v>
      </c>
    </row>
    <row r="242" spans="1:6" x14ac:dyDescent="0.35">
      <c r="A242" t="s">
        <v>466</v>
      </c>
      <c r="B242" t="str">
        <f t="shared" si="18"/>
        <v>3</v>
      </c>
      <c r="C242" t="str">
        <f t="shared" si="19"/>
        <v>3.1</v>
      </c>
      <c r="D242" t="str">
        <f t="shared" si="20"/>
        <v>3.1-1</v>
      </c>
      <c r="E242" t="str">
        <f t="shared" si="21"/>
        <v>3.1-1.4</v>
      </c>
      <c r="F242" t="s">
        <v>408</v>
      </c>
    </row>
    <row r="243" spans="1:6" x14ac:dyDescent="0.35">
      <c r="A243" t="s">
        <v>466</v>
      </c>
      <c r="B243" t="str">
        <f t="shared" si="18"/>
        <v>3</v>
      </c>
      <c r="C243" t="str">
        <f t="shared" si="19"/>
        <v>3.2</v>
      </c>
      <c r="D243" t="str">
        <f t="shared" si="20"/>
        <v>3.2-1</v>
      </c>
      <c r="E243" t="str">
        <f t="shared" si="21"/>
        <v>3.2-1.1</v>
      </c>
      <c r="F243" t="s">
        <v>409</v>
      </c>
    </row>
    <row r="244" spans="1:6" x14ac:dyDescent="0.35">
      <c r="A244" t="s">
        <v>466</v>
      </c>
      <c r="B244" t="str">
        <f t="shared" si="18"/>
        <v>3</v>
      </c>
      <c r="C244" t="str">
        <f t="shared" si="19"/>
        <v>3.2</v>
      </c>
      <c r="D244" t="str">
        <f t="shared" si="20"/>
        <v>3.2-1</v>
      </c>
      <c r="E244" t="str">
        <f t="shared" si="21"/>
        <v>3.2-1.2</v>
      </c>
      <c r="F244" t="s">
        <v>410</v>
      </c>
    </row>
    <row r="245" spans="1:6" x14ac:dyDescent="0.35">
      <c r="A245" t="s">
        <v>466</v>
      </c>
      <c r="B245" t="str">
        <f t="shared" si="18"/>
        <v>3</v>
      </c>
      <c r="C245" t="str">
        <f t="shared" si="19"/>
        <v>3.2</v>
      </c>
      <c r="D245" t="str">
        <f t="shared" si="20"/>
        <v>3.2-2</v>
      </c>
      <c r="E245" t="str">
        <f t="shared" si="21"/>
        <v>3.2-2.1</v>
      </c>
      <c r="F245" t="s">
        <v>411</v>
      </c>
    </row>
    <row r="246" spans="1:6" x14ac:dyDescent="0.35">
      <c r="A246" t="s">
        <v>466</v>
      </c>
      <c r="B246" t="str">
        <f t="shared" ref="B246:B254" si="22">IF(F246&lt;&gt;"",LEFT(F246,SEARCH(".",F246)-1),"")</f>
        <v>2</v>
      </c>
      <c r="C246" t="str">
        <f t="shared" ref="C246:C254" si="23">IF(F246&lt;&gt;"",LEFT(F246,SEARCH("-",F246)-1),"")</f>
        <v>2.1</v>
      </c>
      <c r="D246" t="str">
        <f t="shared" si="20"/>
        <v>2.1-1</v>
      </c>
      <c r="E246" t="str">
        <f t="shared" si="21"/>
        <v>2.1-1.1</v>
      </c>
      <c r="F246" t="s">
        <v>337</v>
      </c>
    </row>
    <row r="247" spans="1:6" x14ac:dyDescent="0.35">
      <c r="A247" t="s">
        <v>466</v>
      </c>
      <c r="B247" t="str">
        <f t="shared" si="22"/>
        <v>2</v>
      </c>
      <c r="C247" t="str">
        <f t="shared" si="23"/>
        <v>2.1</v>
      </c>
      <c r="D247" t="str">
        <f t="shared" si="20"/>
        <v>2.1-1</v>
      </c>
      <c r="E247" t="str">
        <f t="shared" si="21"/>
        <v>2.1-1.2</v>
      </c>
      <c r="F247" t="s">
        <v>338</v>
      </c>
    </row>
    <row r="248" spans="1:6" x14ac:dyDescent="0.35">
      <c r="A248" t="s">
        <v>466</v>
      </c>
      <c r="B248" t="str">
        <f t="shared" si="22"/>
        <v>2</v>
      </c>
      <c r="C248" t="str">
        <f t="shared" si="23"/>
        <v>2.1</v>
      </c>
      <c r="D248" t="str">
        <f t="shared" si="20"/>
        <v>2.1-1</v>
      </c>
      <c r="E248" t="str">
        <f t="shared" si="21"/>
        <v>2.1-1.3</v>
      </c>
      <c r="F248" t="s">
        <v>339</v>
      </c>
    </row>
    <row r="249" spans="1:6" x14ac:dyDescent="0.35">
      <c r="A249" t="s">
        <v>466</v>
      </c>
      <c r="B249" t="str">
        <f t="shared" si="22"/>
        <v>2</v>
      </c>
      <c r="C249" t="str">
        <f t="shared" si="23"/>
        <v>2.1</v>
      </c>
      <c r="D249" t="str">
        <f t="shared" si="20"/>
        <v>2.1-1</v>
      </c>
      <c r="E249" t="str">
        <f t="shared" si="21"/>
        <v>2.1-1.4</v>
      </c>
      <c r="F249" t="s">
        <v>340</v>
      </c>
    </row>
    <row r="250" spans="1:6" x14ac:dyDescent="0.35">
      <c r="A250" t="s">
        <v>466</v>
      </c>
      <c r="B250" t="str">
        <f t="shared" si="22"/>
        <v>2</v>
      </c>
      <c r="C250" t="str">
        <f t="shared" si="23"/>
        <v>2.1</v>
      </c>
      <c r="D250" t="str">
        <f t="shared" si="20"/>
        <v>2.1-2</v>
      </c>
      <c r="E250" t="str">
        <f t="shared" si="21"/>
        <v>2.1-2.1</v>
      </c>
      <c r="F250" t="s">
        <v>341</v>
      </c>
    </row>
    <row r="251" spans="1:6" x14ac:dyDescent="0.35">
      <c r="A251" t="s">
        <v>466</v>
      </c>
      <c r="B251" t="str">
        <f t="shared" si="22"/>
        <v>2</v>
      </c>
      <c r="C251" t="str">
        <f t="shared" si="23"/>
        <v>2.1</v>
      </c>
      <c r="D251" t="str">
        <f t="shared" si="20"/>
        <v>2.1-2</v>
      </c>
      <c r="E251" t="str">
        <f t="shared" si="21"/>
        <v>2.1-2.2</v>
      </c>
      <c r="F251" t="s">
        <v>342</v>
      </c>
    </row>
    <row r="252" spans="1:6" x14ac:dyDescent="0.35">
      <c r="A252" t="s">
        <v>466</v>
      </c>
      <c r="B252" t="str">
        <f t="shared" si="22"/>
        <v>2</v>
      </c>
      <c r="C252" t="str">
        <f t="shared" si="23"/>
        <v>2.1</v>
      </c>
      <c r="D252" t="str">
        <f t="shared" si="20"/>
        <v>2.1-2</v>
      </c>
      <c r="E252" t="str">
        <f t="shared" si="21"/>
        <v>2.1-2.3</v>
      </c>
      <c r="F252" t="s">
        <v>343</v>
      </c>
    </row>
    <row r="253" spans="1:6" x14ac:dyDescent="0.35">
      <c r="A253" t="s">
        <v>466</v>
      </c>
      <c r="B253" t="str">
        <f t="shared" si="22"/>
        <v>2</v>
      </c>
      <c r="C253" t="str">
        <f t="shared" si="23"/>
        <v>2.1</v>
      </c>
      <c r="D253" t="str">
        <f t="shared" si="20"/>
        <v>2.1-2</v>
      </c>
      <c r="E253" t="str">
        <f t="shared" si="21"/>
        <v>2.1-2.4</v>
      </c>
      <c r="F253" t="s">
        <v>344</v>
      </c>
    </row>
    <row r="254" spans="1:6" x14ac:dyDescent="0.35">
      <c r="A254" t="s">
        <v>466</v>
      </c>
      <c r="B254" t="str">
        <f t="shared" si="22"/>
        <v>2</v>
      </c>
      <c r="C254" t="str">
        <f t="shared" si="23"/>
        <v>2.1</v>
      </c>
      <c r="D254" t="str">
        <f t="shared" si="20"/>
        <v>2.1-2</v>
      </c>
      <c r="E254" t="str">
        <f t="shared" si="21"/>
        <v>2.1-2.5</v>
      </c>
      <c r="F254" t="s">
        <v>345</v>
      </c>
    </row>
    <row r="255" spans="1:6" x14ac:dyDescent="0.35">
      <c r="A255" t="s">
        <v>491</v>
      </c>
      <c r="B255" t="str">
        <f t="shared" ref="B255:B276" si="24">IF(F255&lt;&gt;"",LEFT(F255,SEARCH(".",F255)-1),"")</f>
        <v>1</v>
      </c>
      <c r="C255" t="str">
        <f t="shared" ref="C255:C276" si="25">IF(F255&lt;&gt;"",LEFT(F255,SEARCH("-",F255)-1),"")</f>
        <v>1.2</v>
      </c>
      <c r="D255" t="str">
        <f t="shared" si="20"/>
        <v>1.2-1</v>
      </c>
      <c r="E255" t="str">
        <f t="shared" si="21"/>
        <v>1.2-1.1</v>
      </c>
      <c r="F255" s="2" t="s">
        <v>217</v>
      </c>
    </row>
    <row r="256" spans="1:6" x14ac:dyDescent="0.35">
      <c r="A256" t="s">
        <v>491</v>
      </c>
      <c r="B256" t="str">
        <f t="shared" si="24"/>
        <v>1</v>
      </c>
      <c r="C256" t="str">
        <f t="shared" si="25"/>
        <v>1.2</v>
      </c>
      <c r="D256" t="str">
        <f t="shared" si="20"/>
        <v>1.2-1</v>
      </c>
      <c r="E256" t="str">
        <f t="shared" si="21"/>
        <v>1.2-1.2</v>
      </c>
      <c r="F256" s="2" t="s">
        <v>218</v>
      </c>
    </row>
    <row r="257" spans="1:6" x14ac:dyDescent="0.35">
      <c r="A257" t="s">
        <v>491</v>
      </c>
      <c r="B257" t="str">
        <f t="shared" si="24"/>
        <v>1</v>
      </c>
      <c r="C257" t="str">
        <f t="shared" si="25"/>
        <v>1.2</v>
      </c>
      <c r="D257" t="str">
        <f t="shared" si="20"/>
        <v>1.2-1</v>
      </c>
      <c r="E257" t="str">
        <f t="shared" si="21"/>
        <v>1.2-1.3</v>
      </c>
      <c r="F257" s="2" t="s">
        <v>219</v>
      </c>
    </row>
    <row r="258" spans="1:6" x14ac:dyDescent="0.35">
      <c r="A258" t="s">
        <v>491</v>
      </c>
      <c r="B258" t="str">
        <f t="shared" si="24"/>
        <v>1</v>
      </c>
      <c r="C258" t="str">
        <f t="shared" si="25"/>
        <v>1.2</v>
      </c>
      <c r="D258" t="str">
        <f t="shared" si="20"/>
        <v>1.2-2</v>
      </c>
      <c r="E258" t="str">
        <f t="shared" si="21"/>
        <v>1.2-2.1</v>
      </c>
      <c r="F258" s="2" t="s">
        <v>220</v>
      </c>
    </row>
    <row r="259" spans="1:6" x14ac:dyDescent="0.35">
      <c r="A259" t="s">
        <v>491</v>
      </c>
      <c r="B259" t="str">
        <f t="shared" si="24"/>
        <v>1</v>
      </c>
      <c r="C259" t="str">
        <f t="shared" si="25"/>
        <v>1.2</v>
      </c>
      <c r="D259" t="str">
        <f t="shared" si="20"/>
        <v>1.2-3</v>
      </c>
      <c r="E259" t="str">
        <f t="shared" si="21"/>
        <v>1.2-3.1</v>
      </c>
      <c r="F259" s="2" t="s">
        <v>221</v>
      </c>
    </row>
    <row r="260" spans="1:6" x14ac:dyDescent="0.35">
      <c r="A260" t="s">
        <v>491</v>
      </c>
      <c r="B260" t="str">
        <f t="shared" si="24"/>
        <v>1</v>
      </c>
      <c r="C260" t="str">
        <f t="shared" si="25"/>
        <v>1.3</v>
      </c>
      <c r="D260" t="str">
        <f t="shared" si="20"/>
        <v>1.3-1</v>
      </c>
      <c r="E260" t="str">
        <f t="shared" si="21"/>
        <v>1.3-1.1</v>
      </c>
      <c r="F260" s="2" t="s">
        <v>222</v>
      </c>
    </row>
    <row r="261" spans="1:6" x14ac:dyDescent="0.35">
      <c r="A261" t="s">
        <v>491</v>
      </c>
      <c r="B261" t="str">
        <f t="shared" si="24"/>
        <v>1</v>
      </c>
      <c r="C261" t="str">
        <f t="shared" si="25"/>
        <v>1.3</v>
      </c>
      <c r="D261" t="str">
        <f t="shared" si="20"/>
        <v>1.3-1</v>
      </c>
      <c r="E261" t="str">
        <f t="shared" si="21"/>
        <v>1.3-1.2</v>
      </c>
      <c r="F261" s="2" t="s">
        <v>223</v>
      </c>
    </row>
    <row r="262" spans="1:6" x14ac:dyDescent="0.35">
      <c r="A262" t="s">
        <v>491</v>
      </c>
      <c r="B262" t="str">
        <f t="shared" si="24"/>
        <v>1</v>
      </c>
      <c r="C262" t="str">
        <f t="shared" si="25"/>
        <v>1.3</v>
      </c>
      <c r="D262" t="str">
        <f t="shared" si="20"/>
        <v>1.3-1</v>
      </c>
      <c r="E262" t="str">
        <f t="shared" si="21"/>
        <v>1.3-1.3</v>
      </c>
      <c r="F262" s="2" t="s">
        <v>224</v>
      </c>
    </row>
    <row r="263" spans="1:6" x14ac:dyDescent="0.35">
      <c r="A263" t="s">
        <v>491</v>
      </c>
      <c r="B263" t="str">
        <f t="shared" si="24"/>
        <v>1</v>
      </c>
      <c r="C263" t="str">
        <f t="shared" si="25"/>
        <v>1.3</v>
      </c>
      <c r="D263" t="str">
        <f t="shared" si="20"/>
        <v>1.3-1</v>
      </c>
      <c r="E263" t="str">
        <f t="shared" si="21"/>
        <v>1.3-1.4</v>
      </c>
      <c r="F263" s="2" t="s">
        <v>225</v>
      </c>
    </row>
    <row r="264" spans="1:6" x14ac:dyDescent="0.35">
      <c r="A264" t="s">
        <v>491</v>
      </c>
      <c r="B264" t="str">
        <f t="shared" si="24"/>
        <v>1</v>
      </c>
      <c r="C264" t="str">
        <f t="shared" si="25"/>
        <v>1.3</v>
      </c>
      <c r="D264" t="str">
        <f t="shared" si="20"/>
        <v>1.3-2</v>
      </c>
      <c r="E264" t="str">
        <f t="shared" si="21"/>
        <v>1.3-2.2</v>
      </c>
      <c r="F264" s="2" t="s">
        <v>226</v>
      </c>
    </row>
    <row r="265" spans="1:6" x14ac:dyDescent="0.35">
      <c r="A265" t="s">
        <v>491</v>
      </c>
      <c r="B265" t="str">
        <f t="shared" si="24"/>
        <v>1</v>
      </c>
      <c r="C265" t="str">
        <f t="shared" si="25"/>
        <v>1.3</v>
      </c>
      <c r="D265" t="str">
        <f t="shared" si="20"/>
        <v>1.3-2</v>
      </c>
      <c r="E265" t="str">
        <f t="shared" si="21"/>
        <v>1.3-2.3</v>
      </c>
      <c r="F265" s="2" t="s">
        <v>227</v>
      </c>
    </row>
    <row r="266" spans="1:6" x14ac:dyDescent="0.35">
      <c r="A266" t="s">
        <v>491</v>
      </c>
      <c r="B266" t="str">
        <f t="shared" si="24"/>
        <v>1</v>
      </c>
      <c r="C266" t="str">
        <f t="shared" si="25"/>
        <v>1.3</v>
      </c>
      <c r="D266" t="str">
        <f t="shared" si="20"/>
        <v>1.3-2</v>
      </c>
      <c r="E266" t="str">
        <f t="shared" si="21"/>
        <v>1.3-2.4</v>
      </c>
      <c r="F266" s="2" t="s">
        <v>228</v>
      </c>
    </row>
    <row r="267" spans="1:6" x14ac:dyDescent="0.35">
      <c r="A267" t="s">
        <v>491</v>
      </c>
      <c r="B267" t="str">
        <f t="shared" si="24"/>
        <v>1</v>
      </c>
      <c r="C267" t="str">
        <f t="shared" si="25"/>
        <v>1.3</v>
      </c>
      <c r="D267" t="str">
        <f t="shared" si="20"/>
        <v>1.3-2</v>
      </c>
      <c r="E267" t="str">
        <f t="shared" si="21"/>
        <v>1.3-2.5</v>
      </c>
      <c r="F267" s="2" t="s">
        <v>229</v>
      </c>
    </row>
    <row r="268" spans="1:6" x14ac:dyDescent="0.35">
      <c r="A268" t="s">
        <v>491</v>
      </c>
      <c r="B268" t="str">
        <f t="shared" si="24"/>
        <v>1</v>
      </c>
      <c r="C268" t="str">
        <f t="shared" si="25"/>
        <v>1.3</v>
      </c>
      <c r="D268" t="str">
        <f t="shared" si="20"/>
        <v>1.3-2</v>
      </c>
      <c r="E268" t="str">
        <f t="shared" si="21"/>
        <v>1.3-2.6</v>
      </c>
      <c r="F268" s="2" t="s">
        <v>230</v>
      </c>
    </row>
    <row r="269" spans="1:6" x14ac:dyDescent="0.35">
      <c r="A269" t="s">
        <v>491</v>
      </c>
      <c r="B269" t="str">
        <f t="shared" si="24"/>
        <v>1</v>
      </c>
      <c r="C269" t="str">
        <f t="shared" si="25"/>
        <v>1.3</v>
      </c>
      <c r="D269" t="str">
        <f t="shared" si="20"/>
        <v>1.3-2</v>
      </c>
      <c r="E269" t="str">
        <f t="shared" si="21"/>
        <v>1.3-2.7</v>
      </c>
      <c r="F269" s="2" t="s">
        <v>231</v>
      </c>
    </row>
    <row r="270" spans="1:6" x14ac:dyDescent="0.35">
      <c r="A270" t="s">
        <v>491</v>
      </c>
      <c r="B270" t="str">
        <f t="shared" si="24"/>
        <v>1</v>
      </c>
      <c r="C270" t="str">
        <f t="shared" si="25"/>
        <v>1.3</v>
      </c>
      <c r="D270" t="str">
        <f t="shared" si="20"/>
        <v>1.3-2</v>
      </c>
      <c r="E270" t="str">
        <f t="shared" si="21"/>
        <v>1.3-2.8</v>
      </c>
      <c r="F270" s="2" t="s">
        <v>232</v>
      </c>
    </row>
    <row r="271" spans="1:6" x14ac:dyDescent="0.35">
      <c r="A271" t="s">
        <v>491</v>
      </c>
      <c r="B271" t="str">
        <f t="shared" si="24"/>
        <v>1</v>
      </c>
      <c r="C271" t="str">
        <f t="shared" si="25"/>
        <v>1.3</v>
      </c>
      <c r="D271" t="str">
        <f t="shared" si="20"/>
        <v>1.3-2</v>
      </c>
      <c r="E271" t="str">
        <f t="shared" si="21"/>
        <v>1.3-2.9</v>
      </c>
      <c r="F271" s="2" t="s">
        <v>233</v>
      </c>
    </row>
    <row r="272" spans="1:6" x14ac:dyDescent="0.35">
      <c r="A272" t="s">
        <v>491</v>
      </c>
      <c r="B272" t="str">
        <f t="shared" si="24"/>
        <v>1</v>
      </c>
      <c r="C272" t="str">
        <f t="shared" si="25"/>
        <v>1.4</v>
      </c>
      <c r="D272" t="str">
        <f t="shared" si="20"/>
        <v>1.4-1</v>
      </c>
      <c r="E272" t="str">
        <f t="shared" si="21"/>
        <v>1.4-1.1</v>
      </c>
      <c r="F272" s="2" t="s">
        <v>234</v>
      </c>
    </row>
    <row r="273" spans="1:6" x14ac:dyDescent="0.35">
      <c r="A273" t="s">
        <v>491</v>
      </c>
      <c r="B273" t="str">
        <f t="shared" si="24"/>
        <v>1</v>
      </c>
      <c r="C273" t="str">
        <f t="shared" si="25"/>
        <v>1.4</v>
      </c>
      <c r="D273" t="str">
        <f t="shared" si="20"/>
        <v>1.4-1</v>
      </c>
      <c r="E273" t="str">
        <f t="shared" si="21"/>
        <v>1.4-1.2</v>
      </c>
      <c r="F273" s="2" t="s">
        <v>235</v>
      </c>
    </row>
    <row r="274" spans="1:6" x14ac:dyDescent="0.35">
      <c r="A274" t="s">
        <v>491</v>
      </c>
      <c r="B274" t="str">
        <f t="shared" si="24"/>
        <v>1</v>
      </c>
      <c r="C274" t="str">
        <f t="shared" si="25"/>
        <v>1.4</v>
      </c>
      <c r="D274" t="str">
        <f t="shared" si="20"/>
        <v>1.4-1</v>
      </c>
      <c r="E274" t="str">
        <f t="shared" si="21"/>
        <v>1.4-1.3</v>
      </c>
      <c r="F274" s="2" t="s">
        <v>236</v>
      </c>
    </row>
    <row r="275" spans="1:6" x14ac:dyDescent="0.35">
      <c r="A275" t="s">
        <v>491</v>
      </c>
      <c r="B275" t="str">
        <f t="shared" si="24"/>
        <v>1</v>
      </c>
      <c r="C275" t="str">
        <f t="shared" si="25"/>
        <v>1.4</v>
      </c>
      <c r="D275" t="str">
        <f t="shared" si="20"/>
        <v>1.4-1</v>
      </c>
      <c r="E275" t="str">
        <f t="shared" si="21"/>
        <v>1.4-1.4</v>
      </c>
      <c r="F275" s="2" t="s">
        <v>237</v>
      </c>
    </row>
    <row r="276" spans="1:6" x14ac:dyDescent="0.35">
      <c r="A276" t="s">
        <v>491</v>
      </c>
      <c r="B276" t="str">
        <f t="shared" si="24"/>
        <v>1</v>
      </c>
      <c r="C276" t="str">
        <f t="shared" si="25"/>
        <v>1.5</v>
      </c>
      <c r="D276" t="str">
        <f t="shared" si="20"/>
        <v>1.5-1</v>
      </c>
      <c r="E276" t="str">
        <f t="shared" si="21"/>
        <v>1.5-1.1</v>
      </c>
      <c r="F276" s="2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AWP FY26</vt:lpstr>
      <vt:lpstr>REF_AWP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Richard Desgueyes GUEI</cp:lastModifiedBy>
  <dcterms:created xsi:type="dcterms:W3CDTF">2026-05-10T11:15:38Z</dcterms:created>
  <dcterms:modified xsi:type="dcterms:W3CDTF">2026-05-10T12:44:01Z</dcterms:modified>
</cp:coreProperties>
</file>