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pspci.sharepoint.com/LHSPLA/Documents partages/SUIVI-EVALUATION/Bulletin Hebdo/"/>
    </mc:Choice>
  </mc:AlternateContent>
  <xr:revisionPtr revIDLastSave="1616" documentId="8_{96A9D3E6-286C-46DE-BECE-87F87252AFB4}" xr6:coauthVersionLast="47" xr6:coauthVersionMax="47" xr10:uidLastSave="{27A3A776-FCF2-4BCC-9355-802A87F36902}"/>
  <bookViews>
    <workbookView xWindow="-120" yWindow="-120" windowWidth="29040" windowHeight="15720" tabRatio="805" activeTab="10" xr2:uid="{00000000-000D-0000-FFFF-FFFF00000000}"/>
  </bookViews>
  <sheets>
    <sheet name="AIDE" sheetId="1" r:id="rId1"/>
    <sheet name="CAD" sheetId="2" r:id="rId2"/>
    <sheet name="CAC" sheetId="8" r:id="rId3"/>
    <sheet name="PMO" sheetId="3" r:id="rId4"/>
    <sheet name="QAD" sheetId="4" r:id="rId5"/>
    <sheet name="SE" sheetId="5" r:id="rId6"/>
    <sheet name="SI" sheetId="6" r:id="rId7"/>
    <sheet name="FINANCES" sheetId="7" r:id="rId8"/>
    <sheet name="COM" sheetId="9" r:id="rId9"/>
    <sheet name="COMPILATION" sheetId="10" r:id="rId10"/>
    <sheet name="BulletinDu_25-29mai2026" sheetId="13" r:id="rId11"/>
    <sheet name="AWP FY26" sheetId="11" state="hidden" r:id="rId12"/>
    <sheet name="REF_AWP" sheetId="12" state="veryHidden" r:id="rId13"/>
  </sheets>
  <externalReferences>
    <externalReference r:id="rId14"/>
    <externalReference r:id="rId15"/>
    <externalReference r:id="rId16"/>
    <externalReference r:id="rId17"/>
  </externalReferences>
  <definedNames>
    <definedName name="_xlnm._FilterDatabase" localSheetId="11" hidden="1">'AWP FY26'!$A$2:$GZ$268</definedName>
    <definedName name="AWP_ACTIVITES" comment="Liste des N° Activités AWP FY26">REF_AWP!$A$2:$A$73</definedName>
    <definedName name="AWP_CAT_Commandes_et_Approvisionnement" comment="Catégories: Commandes et Approvisionnement">REF_AWP!$C$151:$C$155</definedName>
    <definedName name="AWP_CAT_Coordination_et_Gouvernance" comment="Catégories: Coordination et Gouvernance">REF_AWP!$H$151:$H$153</definedName>
    <definedName name="AWP_CAT_Distribution_et_Livraison" comment="Catégories: Distribution et Livraison">REF_AWP!$E$151:$E$154</definedName>
    <definedName name="AWP_CAT_Donnees_et_Reporting" comment="Catégories: Données et Reporting">REF_AWP!$F$151:$F$154</definedName>
    <definedName name="AWP_CAT_Formation_et_Renforcement_de_Capacites" comment="Catégories: Formation et Renforcement de Capacités">REF_AWP!$I$151:$I$152</definedName>
    <definedName name="AWP_CAT_Gestion_de_Projet" comment="Catégories: Gestion de Projet">REF_AWP!$J$151:$J$153</definedName>
    <definedName name="AWP_CAT_Gestion_de_Stocks" comment="Catégories: Gestion de Stocks">REF_AWP!$D$151:$D$155</definedName>
    <definedName name="AWP_CAT_Produits_Specifiques" comment="Catégories: Produits Spécifiques">REF_AWP!$K$151:$K$152</definedName>
    <definedName name="AWP_CAT_Quantification_et_Prevision" comment="Catégories: Quantification et Prévision">REF_AWP!$B$151:$B$153</definedName>
    <definedName name="AWP_CAT_Systemes_d_Information" comment="Catégories: Systèmes d'Information">REF_AWP!$G$151:$G$155</definedName>
    <definedName name="AWP_CATEGORIES" comment="Liste des catégories Points de vigilance">REF_AWP!$A$101:$A$136</definedName>
    <definedName name="AWP_T_1_1_1" comment="Tâches 1.1-1">REF_AWP!$E$2:$E$5</definedName>
    <definedName name="AWP_T_1_1_10" comment="Tâches 1.1-10">REF_AWP!$M$2</definedName>
    <definedName name="AWP_T_1_1_11" comment="Tâches 1.1-11">REF_AWP!$N$2:$N$5</definedName>
    <definedName name="AWP_T_1_1_2" comment="Tâches 1.1-2">REF_AWP!$F$2:$F$3</definedName>
    <definedName name="AWP_T_1_1_3" comment="Tâches 1.1-3">REF_AWP!$G$2</definedName>
    <definedName name="AWP_T_1_1_4" comment="Tâches 1.1-4">REF_AWP!$H$2</definedName>
    <definedName name="AWP_T_1_1_5" comment="Tâches 1.1-5">REF_AWP!$I$2:$I$3</definedName>
    <definedName name="AWP_T_1_1_6" comment="Tâches 1.1-6">REF_AWP!$J$2:$J$3</definedName>
    <definedName name="AWP_T_1_1_7" comment="Tâches 1.1-7">REF_AWP!$K$2</definedName>
    <definedName name="AWP_T_1_1_9" comment="Tâches 1.1-9">REF_AWP!$L$2</definedName>
    <definedName name="AWP_T_1_10_1" comment="Tâches 1.10-1">REF_AWP!$AL$2</definedName>
    <definedName name="AWP_T_1_10_2" comment="Tâches 1.10-2">REF_AWP!$AM$2</definedName>
    <definedName name="AWP_T_1_10_3" comment="Tâches 1.10-3">REF_AWP!$AN$2</definedName>
    <definedName name="AWP_T_1_11_1" comment="Tâches 1.11-1">REF_AWP!$AO$2:$AO$14</definedName>
    <definedName name="AWP_T_1_11_2" comment="Tâches 1.11-2">REF_AWP!$AP$2:$AP$4</definedName>
    <definedName name="AWP_T_1_11_3" comment="Tâches 1.11-3">REF_AWP!$AQ$2:$AQ$5</definedName>
    <definedName name="AWP_T_1_11_4" comment="Tâches 1.11-4">REF_AWP!$AR$2:$AR$9</definedName>
    <definedName name="AWP_T_1_11_5" comment="Tâches 1.11-5">REF_AWP!$AS$2:$AS$8</definedName>
    <definedName name="AWP_T_1_11_6" comment="Tâches 1.11-6">REF_AWP!$AT$2:$AT$14</definedName>
    <definedName name="AWP_T_1_2_1" comment="Tâches 1.2-1">REF_AWP!$O$2:$O$4</definedName>
    <definedName name="AWP_T_1_2_2" comment="Tâches 1.2-2">REF_AWP!$P$2</definedName>
    <definedName name="AWP_T_1_2_3" comment="Tâches 1.2-3">REF_AWP!$Q$2</definedName>
    <definedName name="AWP_T_1_3_1" comment="Tâches 1.3-1">REF_AWP!$R$2:$R$5</definedName>
    <definedName name="AWP_T_1_3_2" comment="Tâches 1.3-2">REF_AWP!$S$2:$S$9</definedName>
    <definedName name="AWP_T_1_4_1" comment="Tâches 1.4-1">REF_AWP!$T$2:$T$5</definedName>
    <definedName name="AWP_T_1_5_1" comment="Tâches 1.5-1">REF_AWP!$U$2</definedName>
    <definedName name="AWP_T_1_7_1" comment="Tâches 1.7-1">REF_AWP!$V$2:$V$3</definedName>
    <definedName name="AWP_T_1_7_11" comment="Tâches 1.7-11">REF_AWP!$AE$2:$AE$3</definedName>
    <definedName name="AWP_T_1_7_12" comment="Tâches 1.7-12">REF_AWP!$AF$2:$AF$9</definedName>
    <definedName name="AWP_T_1_7_13" comment="Tâches 1.7-13">REF_AWP!$AG$2:$AG$5</definedName>
    <definedName name="AWP_T_1_7_14" comment="Tâches 1.7-14">REF_AWP!$AH$2</definedName>
    <definedName name="AWP_T_1_7_2" comment="Tâches 1.7-2">REF_AWP!$W$2:$W$4</definedName>
    <definedName name="AWP_T_1_7_3" comment="Tâches 1.7-3">REF_AWP!$X$2:$X$12</definedName>
    <definedName name="AWP_T_1_7_4" comment="Tâches 1.7-4">REF_AWP!$Y$2:$Y$3</definedName>
    <definedName name="AWP_T_1_7_5" comment="Tâches 1.7-5">REF_AWP!$Z$2</definedName>
    <definedName name="AWP_T_1_7_6" comment="Tâches 1.7-6">REF_AWP!$AA$2:$AA$6</definedName>
    <definedName name="AWP_T_1_7_7" comment="Tâches 1.7-7">REF_AWP!$AB$2</definedName>
    <definedName name="AWP_T_1_7_8" comment="Tâches 1.7-8">REF_AWP!$AC$2</definedName>
    <definedName name="AWP_T_1_7_9" comment="Tâches 1.7-9">REF_AWP!$AD$2:$AD$4</definedName>
    <definedName name="AWP_T_1_8_2" comment="Tâches 1.8-2">REF_AWP!$AI$2</definedName>
    <definedName name="AWP_T_1_8_3" comment="Tâches 1.8-3">REF_AWP!$AJ$2</definedName>
    <definedName name="AWP_T_1_9_1" comment="Tâches 1.9-1">REF_AWP!$AK$2</definedName>
    <definedName name="AWP_T_2_1_1" comment="Tâches 2.1-1">REF_AWP!$AU$2:$AU$5</definedName>
    <definedName name="AWP_T_2_1_2" comment="Tâches 2.1-2">REF_AWP!$AV$2:$AV$9</definedName>
    <definedName name="AWP_T_2_2_1" comment="Tâches 2.2-1">REF_AWP!$AW$2:$AW$5</definedName>
    <definedName name="AWP_T_2_2_2" comment="Tâches 2.2-2">REF_AWP!$AX$2:$AX$6</definedName>
    <definedName name="AWP_T_2_2_3" comment="Tâches 2.2-3">REF_AWP!$AY$2:$AY$3</definedName>
    <definedName name="AWP_T_2_2_4" comment="Tâches 2.2-4">REF_AWP!$AZ$2</definedName>
    <definedName name="AWP_T_2_2_5" comment="Tâches 2.2-5">REF_AWP!$BA$2:$BA$9</definedName>
    <definedName name="AWP_T_2_2_6" comment="Tâches 2.2-6">REF_AWP!$BB$2:$BB$6</definedName>
    <definedName name="AWP_T_2_2_7" comment="Tâches 2.2-7">REF_AWP!$BC$2:$BC$7</definedName>
    <definedName name="AWP_T_2_6_1" comment="Tâches 2.6-1">REF_AWP!$BD$2:$BD$4</definedName>
    <definedName name="AWP_T_2_6_2" comment="Tâches 2.6-2">REF_AWP!$BE$2:$BE$6</definedName>
    <definedName name="AWP_T_2_6_3" comment="Tâches 2.6-3">REF_AWP!$BF$2:$BF$4</definedName>
    <definedName name="AWP_T_2_6_4" comment="Tâches 2.6-4">REF_AWP!$BG$2</definedName>
    <definedName name="AWP_T_2_6_5" comment="Tâches 2.6-5">REF_AWP!$BH$2:$BH$10</definedName>
    <definedName name="AWP_T_2_6_6" comment="Tâches 2.6-6">REF_AWP!$BI$2</definedName>
    <definedName name="AWP_T_2_6_7" comment="Tâches 2.6-7">REF_AWP!$BJ$2</definedName>
    <definedName name="AWP_T_2_6_8" comment="Tâches 2.6-8">REF_AWP!$BK$2</definedName>
    <definedName name="AWP_T_2_6_9" comment="Tâches 2.6-9">REF_AWP!$BL$2</definedName>
    <definedName name="AWP_T_3_1_1" comment="Tâches 3.1-1">REF_AWP!$BM$2:$BM$5</definedName>
    <definedName name="AWP_T_3_2_1" comment="Tâches 3.2-1">REF_AWP!$BN$2:$BN$3</definedName>
    <definedName name="AWP_T_3_2_2" comment="Tâches 3.2-2">REF_AWP!$BO$2</definedName>
    <definedName name="AWP_T_4_1_1" comment="Tâches 4.1-1">REF_AWP!$BP$2:$BP$13</definedName>
    <definedName name="AWP_T_4_1_2" comment="Tâches 4.1-2">REF_AWP!$BQ$2:$BQ$8</definedName>
    <definedName name="AWP_T_4_1_3" comment="Tâches 4.1-3">REF_AWP!$BR$2:$BR$6</definedName>
    <definedName name="AWP_T_4_2_1" comment="Tâches 4.2-1">REF_AWP!$BS$2:$BS$5</definedName>
    <definedName name="AWP_T_4_2_2" comment="Tâches 4.2-2">REF_AWP!$BT$2:$BT$6</definedName>
    <definedName name="AWP_T_4_2_3" comment="Tâches 4.2.3">REF_AWP!$BU$2:$BU$5</definedName>
    <definedName name="AWP_T_4_2_4" comment="Tâches 4.2.4">REF_AWP!$BV$2:$BV$4</definedName>
    <definedName name="AWP_T_4_2_5" comment="Tâches 4.2.5">REF_AWP!$BW$2:$BW$6</definedName>
    <definedName name="AWP_T_4_2_6" comment="Tâches 4.2.6">REF_AWP!$BX$2:$BX$5</definedName>
    <definedName name="AWP_THEME_MAP" comment="Mapping thème -&gt; nom plage catégories">REF_AWP!$P$151:$Q$160</definedName>
    <definedName name="AWP_THEMES" comment="Liste des thèmes Points de vigilance">REF_AWP!$A$151:$A$160</definedName>
    <definedName name="COP20_beneficiaries" localSheetId="11">[1]Lists!$G$57:$G$83</definedName>
    <definedName name="COP20_beneficiaries">#REF!</definedName>
    <definedName name="COP20_funding_agencies" localSheetId="11">[2]Lists!$O$2:$O$18</definedName>
    <definedName name="COP20_funding_agencies">#REF!</definedName>
    <definedName name="COP20_non_pm_program_areas" localSheetId="11">[1]Lists!$J$2:$J$55</definedName>
    <definedName name="COP20_non_pm_program_areas">#REF!</definedName>
    <definedName name="COP20_OU_list" localSheetId="11">[2]Lists!$M$2:$M$29</definedName>
    <definedName name="COP20_OU_list">#REF!</definedName>
    <definedName name="Crédit" localSheetId="11">[3]CONFIG!$B$1:$D$1</definedName>
    <definedName name="Crédit">#REF!</definedName>
    <definedName name="Débit" localSheetId="11">[3]CONFIG!$B$2:$D$2</definedName>
    <definedName name="Débit">#REF!</definedName>
    <definedName name="Designation_Col">"B15"</definedName>
    <definedName name="Designation_Lign">7</definedName>
    <definedName name="MaximumInitiatives" localSheetId="11">'[4]User Guide'!$B$11</definedName>
    <definedName name="MaximumInitiatives">#REF!</definedName>
    <definedName name="MaximumInterventions" localSheetId="11">'[4]User Guide'!$B$10</definedName>
    <definedName name="MaximumInterventions">#REF!</definedName>
    <definedName name="N_Flux" comment="Opération du 16/10/21">20211001133</definedName>
    <definedName name="Types_Mvt" localSheetId="11">[3]CONFIG!$A$1:$A$2</definedName>
    <definedName name="Types_Mvt">#REF!</definedName>
    <definedName name="_xlnm.Print_Area" localSheetId="10">'BulletinDu_25-29mai2026'!$A$1:$G$91</definedName>
    <definedName name="_xlnm.Print_Area" localSheetId="2">CAC!$A$1:$H$44</definedName>
    <definedName name="_xlnm.Print_Area" localSheetId="1">CAD!$A$1:$H$45</definedName>
    <definedName name="_xlnm.Print_Area" localSheetId="8">COM!$A$1:$H$44</definedName>
    <definedName name="_xlnm.Print_Area" localSheetId="9">COMPILATION!$A$1:$G$259</definedName>
    <definedName name="_xlnm.Print_Area" localSheetId="7">FINANCES!$A$1:$H$44</definedName>
    <definedName name="_xlnm.Print_Area" localSheetId="3">PMO!$A$1:$H$44</definedName>
    <definedName name="_xlnm.Print_Area" localSheetId="4">QAD!$A$1:$H$45</definedName>
    <definedName name="_xlnm.Print_Area" localSheetId="5">SE!$A$1:$H$41</definedName>
    <definedName name="_xlnm.Print_Area" localSheetId="6">SI!$A$1:$H$42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3" i="10" l="1"/>
  <c r="D33" i="10"/>
  <c r="C33" i="10"/>
  <c r="B33" i="10"/>
  <c r="B124" i="10"/>
  <c r="C124" i="10"/>
  <c r="D124" i="10"/>
  <c r="E124" i="10"/>
  <c r="F124" i="10"/>
  <c r="G124" i="10"/>
  <c r="E6" i="4" l="1"/>
  <c r="G6" i="9"/>
  <c r="E6" i="9"/>
  <c r="G6" i="6"/>
  <c r="E6" i="6"/>
  <c r="G6" i="4"/>
  <c r="G6" i="3"/>
  <c r="E6" i="3"/>
  <c r="G6" i="8"/>
  <c r="E6" i="8"/>
  <c r="G6" i="2"/>
  <c r="E6" i="2"/>
  <c r="T2" i="11"/>
  <c r="U2" i="11"/>
  <c r="V2" i="11"/>
  <c r="W2" i="11"/>
  <c r="X2" i="11"/>
  <c r="Y2" i="11"/>
  <c r="D3" i="11"/>
  <c r="Z3" i="11"/>
  <c r="BP3" i="11"/>
  <c r="BQ3" i="11"/>
  <c r="BR3" i="11"/>
  <c r="BS3" i="11"/>
  <c r="D4" i="11"/>
  <c r="Z4" i="11"/>
  <c r="BP4" i="11"/>
  <c r="BQ4" i="11"/>
  <c r="BR4" i="11"/>
  <c r="BS4" i="11"/>
  <c r="D5" i="11"/>
  <c r="Z5" i="11"/>
  <c r="BP5" i="11"/>
  <c r="BQ5" i="11"/>
  <c r="BR5" i="11"/>
  <c r="BS5" i="11"/>
  <c r="D6" i="11"/>
  <c r="Z6" i="11"/>
  <c r="BP6" i="11"/>
  <c r="BQ6" i="11"/>
  <c r="BR6" i="11"/>
  <c r="BS6" i="11"/>
  <c r="D7" i="11"/>
  <c r="Z7" i="11"/>
  <c r="BP7" i="11"/>
  <c r="BQ7" i="11"/>
  <c r="BR7" i="11"/>
  <c r="BS7" i="11"/>
  <c r="D8" i="11"/>
  <c r="Z8" i="11"/>
  <c r="BP8" i="11"/>
  <c r="BQ8" i="11"/>
  <c r="BR8" i="11"/>
  <c r="BS8" i="11"/>
  <c r="D9" i="11"/>
  <c r="Z9" i="11"/>
  <c r="BP9" i="11"/>
  <c r="BQ9" i="11"/>
  <c r="BR9" i="11"/>
  <c r="BS9" i="11"/>
  <c r="D10" i="11"/>
  <c r="Z10" i="11"/>
  <c r="BP10" i="11"/>
  <c r="BQ10" i="11"/>
  <c r="BR10" i="11"/>
  <c r="BS10" i="11"/>
  <c r="D11" i="11"/>
  <c r="Z11" i="11"/>
  <c r="BP11" i="11"/>
  <c r="BQ11" i="11"/>
  <c r="BR11" i="11"/>
  <c r="BS11" i="11"/>
  <c r="D12" i="11"/>
  <c r="Z12" i="11"/>
  <c r="BP12" i="11"/>
  <c r="BQ12" i="11"/>
  <c r="BR12" i="11"/>
  <c r="BS12" i="11"/>
  <c r="D13" i="11"/>
  <c r="Z13" i="11"/>
  <c r="BP13" i="11"/>
  <c r="BQ13" i="11"/>
  <c r="BR13" i="11"/>
  <c r="BS13" i="11"/>
  <c r="D14" i="11"/>
  <c r="Z14" i="11"/>
  <c r="BP14" i="11"/>
  <c r="BQ14" i="11"/>
  <c r="BR14" i="11"/>
  <c r="BS14" i="11"/>
  <c r="D15" i="11"/>
  <c r="Z15" i="11"/>
  <c r="BP15" i="11"/>
  <c r="BQ15" i="11"/>
  <c r="BR15" i="11"/>
  <c r="BS15" i="11"/>
  <c r="D16" i="11"/>
  <c r="Z16" i="11"/>
  <c r="BP16" i="11"/>
  <c r="BQ16" i="11"/>
  <c r="BR16" i="11"/>
  <c r="BS16" i="11"/>
  <c r="D17" i="11"/>
  <c r="Z17" i="11"/>
  <c r="AH17" i="11"/>
  <c r="BR17" i="11"/>
  <c r="AI17" i="11"/>
  <c r="BS17" i="11"/>
  <c r="BP17" i="11"/>
  <c r="BQ17" i="11"/>
  <c r="D18" i="11"/>
  <c r="Z18" i="11"/>
  <c r="D19" i="11"/>
  <c r="Z19" i="11"/>
  <c r="D20" i="11"/>
  <c r="Z20" i="11"/>
  <c r="D21" i="11"/>
  <c r="Z21" i="11"/>
  <c r="D22" i="11"/>
  <c r="Z22" i="11"/>
  <c r="BP22" i="11"/>
  <c r="BQ22" i="11"/>
  <c r="BR22" i="11"/>
  <c r="BS22" i="11"/>
  <c r="D23" i="11"/>
  <c r="Z23" i="11"/>
  <c r="BP23" i="11"/>
  <c r="BQ23" i="11"/>
  <c r="BR23" i="11"/>
  <c r="BS23" i="11"/>
  <c r="D24" i="11"/>
  <c r="Z24" i="11"/>
  <c r="BP24" i="11"/>
  <c r="BQ24" i="11"/>
  <c r="BR24" i="11"/>
  <c r="BS24" i="11"/>
  <c r="D25" i="11"/>
  <c r="Z25" i="11"/>
  <c r="BP25" i="11"/>
  <c r="BQ25" i="11"/>
  <c r="BR25" i="11"/>
  <c r="BS25" i="11"/>
  <c r="D26" i="11"/>
  <c r="Z26" i="11"/>
  <c r="BP26" i="11"/>
  <c r="BQ26" i="11"/>
  <c r="BR26" i="11"/>
  <c r="BS26" i="11"/>
  <c r="D27" i="11"/>
  <c r="Z27" i="11"/>
  <c r="BP27" i="11"/>
  <c r="BQ27" i="11"/>
  <c r="BR27" i="11"/>
  <c r="BS27" i="11"/>
  <c r="D28" i="11"/>
  <c r="Z28" i="11"/>
  <c r="BP28" i="11"/>
  <c r="BQ28" i="11"/>
  <c r="BR28" i="11"/>
  <c r="BS28" i="11"/>
  <c r="D29" i="11"/>
  <c r="Z29" i="11"/>
  <c r="BP29" i="11"/>
  <c r="BQ29" i="11"/>
  <c r="BR29" i="11"/>
  <c r="BS29" i="11"/>
  <c r="D30" i="11"/>
  <c r="Z30" i="11"/>
  <c r="BP30" i="11"/>
  <c r="BQ30" i="11"/>
  <c r="BR30" i="11"/>
  <c r="BS30" i="11"/>
  <c r="D31" i="11"/>
  <c r="Z31" i="11"/>
  <c r="BP31" i="11"/>
  <c r="BQ31" i="11"/>
  <c r="BR31" i="11"/>
  <c r="BS31" i="11"/>
  <c r="D32" i="11"/>
  <c r="Z32" i="11"/>
  <c r="BP32" i="11"/>
  <c r="BQ32" i="11"/>
  <c r="BR32" i="11"/>
  <c r="BS32" i="11"/>
  <c r="D33" i="11"/>
  <c r="Z33" i="11"/>
  <c r="BP33" i="11"/>
  <c r="BQ33" i="11"/>
  <c r="BR33" i="11"/>
  <c r="BS33" i="11"/>
  <c r="D34" i="11"/>
  <c r="Z34" i="11"/>
  <c r="BP34" i="11"/>
  <c r="BQ34" i="11"/>
  <c r="BR34" i="11"/>
  <c r="BS34" i="11"/>
  <c r="D35" i="11"/>
  <c r="Z35" i="11"/>
  <c r="BP35" i="11"/>
  <c r="BQ35" i="11"/>
  <c r="BR35" i="11"/>
  <c r="BS35" i="11"/>
  <c r="D36" i="11"/>
  <c r="Z36" i="11"/>
  <c r="BP36" i="11"/>
  <c r="BQ36" i="11"/>
  <c r="BR36" i="11"/>
  <c r="BS36" i="11"/>
  <c r="D37" i="11"/>
  <c r="Z37" i="11"/>
  <c r="BP37" i="11"/>
  <c r="BQ37" i="11"/>
  <c r="BR37" i="11"/>
  <c r="BS37" i="11"/>
  <c r="D38" i="11"/>
  <c r="Z38" i="11"/>
  <c r="D39" i="11"/>
  <c r="Z39" i="11"/>
  <c r="BP39" i="11"/>
  <c r="BQ39" i="11"/>
  <c r="BR39" i="11"/>
  <c r="BS39" i="11"/>
  <c r="D40" i="11"/>
  <c r="Z40" i="11"/>
  <c r="BP40" i="11"/>
  <c r="BQ40" i="11"/>
  <c r="BR40" i="11"/>
  <c r="BS40" i="11"/>
  <c r="D41" i="11"/>
  <c r="Z41" i="11"/>
  <c r="BP41" i="11"/>
  <c r="BQ41" i="11"/>
  <c r="BR41" i="11"/>
  <c r="BS41" i="11"/>
  <c r="D42" i="11"/>
  <c r="Z42" i="11"/>
  <c r="BP42" i="11"/>
  <c r="BQ42" i="11"/>
  <c r="BR42" i="11"/>
  <c r="BS42" i="11"/>
  <c r="D43" i="11"/>
  <c r="Z43" i="11"/>
  <c r="BP43" i="11"/>
  <c r="BQ43" i="11"/>
  <c r="BR43" i="11"/>
  <c r="BS43" i="11"/>
  <c r="D44" i="11"/>
  <c r="Z44" i="11"/>
  <c r="BP44" i="11"/>
  <c r="BQ44" i="11"/>
  <c r="BR44" i="11"/>
  <c r="BS44" i="11"/>
  <c r="D45" i="11"/>
  <c r="Z45" i="11"/>
  <c r="BP45" i="11"/>
  <c r="BQ45" i="11"/>
  <c r="BR45" i="11"/>
  <c r="BS45" i="11"/>
  <c r="D46" i="11"/>
  <c r="Z46" i="11"/>
  <c r="BP46" i="11"/>
  <c r="BQ46" i="11"/>
  <c r="BR46" i="11"/>
  <c r="BS46" i="11"/>
  <c r="D47" i="11"/>
  <c r="Z47" i="11"/>
  <c r="BP47" i="11"/>
  <c r="BQ47" i="11"/>
  <c r="BR47" i="11"/>
  <c r="BS47" i="11"/>
  <c r="D48" i="11"/>
  <c r="Z48" i="11"/>
  <c r="BP48" i="11"/>
  <c r="BQ48" i="11"/>
  <c r="BR48" i="11"/>
  <c r="BS48" i="11"/>
  <c r="D49" i="11"/>
  <c r="Z49" i="11"/>
  <c r="BP49" i="11"/>
  <c r="BQ49" i="11"/>
  <c r="BR49" i="11"/>
  <c r="BS49" i="11"/>
  <c r="D50" i="11"/>
  <c r="Z50" i="11"/>
  <c r="AD50" i="11"/>
  <c r="BP50" i="11"/>
  <c r="BQ50" i="11"/>
  <c r="BR50" i="11"/>
  <c r="BS50" i="11"/>
  <c r="D51" i="11"/>
  <c r="Z51" i="11"/>
  <c r="AD51" i="11"/>
  <c r="BP51" i="11"/>
  <c r="BQ51" i="11"/>
  <c r="BR51" i="11"/>
  <c r="BS51" i="11"/>
  <c r="D52" i="11"/>
  <c r="Z52" i="11"/>
  <c r="AD52" i="11"/>
  <c r="BP52" i="11"/>
  <c r="BQ52" i="11"/>
  <c r="BR52" i="11"/>
  <c r="BS52" i="11"/>
  <c r="D53" i="11"/>
  <c r="Z53" i="11"/>
  <c r="AE53" i="11"/>
  <c r="BR53" i="11" s="1"/>
  <c r="AF53" i="11"/>
  <c r="BS53" i="11"/>
  <c r="BP53" i="11"/>
  <c r="BQ53" i="11"/>
  <c r="D54" i="11"/>
  <c r="Z54" i="11"/>
  <c r="BP54" i="11"/>
  <c r="BQ54" i="11"/>
  <c r="BR54" i="11"/>
  <c r="BS54" i="11"/>
  <c r="D55" i="11"/>
  <c r="Z55" i="11"/>
  <c r="BP55" i="11"/>
  <c r="BQ55" i="11"/>
  <c r="BR55" i="11"/>
  <c r="BS55" i="11"/>
  <c r="D56" i="11"/>
  <c r="Z56" i="11"/>
  <c r="D57" i="11"/>
  <c r="Z57" i="11"/>
  <c r="D58" i="11"/>
  <c r="Z58" i="11"/>
  <c r="D59" i="11"/>
  <c r="Z59" i="11"/>
  <c r="D60" i="11"/>
  <c r="Z60" i="11"/>
  <c r="BP60" i="11"/>
  <c r="BQ60" i="11"/>
  <c r="BR60" i="11"/>
  <c r="BS60" i="11"/>
  <c r="D61" i="11"/>
  <c r="Z61" i="11"/>
  <c r="BP61" i="11"/>
  <c r="BQ61" i="11"/>
  <c r="BR61" i="11"/>
  <c r="BS61" i="11"/>
  <c r="D62" i="11"/>
  <c r="Z62" i="11"/>
  <c r="BP62" i="11"/>
  <c r="BQ62" i="11"/>
  <c r="BR62" i="11"/>
  <c r="BS62" i="11"/>
  <c r="D63" i="11"/>
  <c r="Z63" i="11"/>
  <c r="BP63" i="11"/>
  <c r="BQ63" i="11"/>
  <c r="BR63" i="11"/>
  <c r="BS63" i="11"/>
  <c r="D64" i="11"/>
  <c r="Z64" i="11"/>
  <c r="BP64" i="11"/>
  <c r="BQ64" i="11"/>
  <c r="BR64" i="11"/>
  <c r="BS64" i="11"/>
  <c r="D65" i="11"/>
  <c r="Z65" i="11"/>
  <c r="BP65" i="11"/>
  <c r="BQ65" i="11"/>
  <c r="BR65" i="11"/>
  <c r="BS65" i="11"/>
  <c r="D66" i="11"/>
  <c r="Z66" i="11"/>
  <c r="AH66" i="11"/>
  <c r="BR66" i="11" s="1"/>
  <c r="BP66" i="11"/>
  <c r="BQ66" i="11"/>
  <c r="BS66" i="11"/>
  <c r="D67" i="11"/>
  <c r="Z67" i="11"/>
  <c r="AK67" i="11"/>
  <c r="BR67" i="11"/>
  <c r="BP67" i="11"/>
  <c r="BQ67" i="11"/>
  <c r="BS67" i="11"/>
  <c r="D68" i="11"/>
  <c r="Z68" i="11"/>
  <c r="AF68" i="11"/>
  <c r="BS68" i="11" s="1"/>
  <c r="BP68" i="11"/>
  <c r="BQ68" i="11"/>
  <c r="BR68" i="11"/>
  <c r="D69" i="11"/>
  <c r="Z69" i="11"/>
  <c r="AF69" i="11"/>
  <c r="BS69" i="11"/>
  <c r="BP69" i="11"/>
  <c r="BQ69" i="11"/>
  <c r="BR69" i="11"/>
  <c r="D70" i="11"/>
  <c r="Z70" i="11"/>
  <c r="BP70" i="11"/>
  <c r="BQ70" i="11"/>
  <c r="BR70" i="11"/>
  <c r="BS70" i="11"/>
  <c r="D71" i="11"/>
  <c r="Z71" i="11"/>
  <c r="BP71" i="11"/>
  <c r="BQ71" i="11"/>
  <c r="BR71" i="11"/>
  <c r="BS71" i="11"/>
  <c r="D72" i="11"/>
  <c r="Z72" i="11"/>
  <c r="BP72" i="11"/>
  <c r="BQ72" i="11"/>
  <c r="BR72" i="11"/>
  <c r="BS72" i="11"/>
  <c r="D73" i="11"/>
  <c r="Z73" i="11"/>
  <c r="BP73" i="11"/>
  <c r="BQ73" i="11"/>
  <c r="BR73" i="11"/>
  <c r="BS73" i="11"/>
  <c r="D74" i="11"/>
  <c r="Z74" i="11"/>
  <c r="AE74" i="11"/>
  <c r="BR74" i="11"/>
  <c r="AF74" i="11"/>
  <c r="BS74" i="11" s="1"/>
  <c r="BP74" i="11"/>
  <c r="BQ74" i="11"/>
  <c r="D75" i="11"/>
  <c r="Z75" i="11"/>
  <c r="BP75" i="11"/>
  <c r="BQ75" i="11"/>
  <c r="BR75" i="11"/>
  <c r="BS75" i="11"/>
  <c r="D76" i="11"/>
  <c r="Z76" i="11"/>
  <c r="BP76" i="11"/>
  <c r="BQ76" i="11"/>
  <c r="BR76" i="11"/>
  <c r="BS76" i="11"/>
  <c r="D77" i="11"/>
  <c r="Z77" i="11"/>
  <c r="AR77" i="11"/>
  <c r="BS77" i="11" s="1"/>
  <c r="BP77" i="11"/>
  <c r="BQ77" i="11"/>
  <c r="BR77" i="11"/>
  <c r="D78" i="11"/>
  <c r="Z78" i="11"/>
  <c r="AR78" i="11"/>
  <c r="BS78" i="11" s="1"/>
  <c r="BP78" i="11"/>
  <c r="BQ78" i="11"/>
  <c r="BR78" i="11"/>
  <c r="D79" i="11"/>
  <c r="Z79" i="11"/>
  <c r="AR79" i="11"/>
  <c r="BS79" i="11" s="1"/>
  <c r="BP79" i="11"/>
  <c r="BQ79" i="11"/>
  <c r="BR79" i="11"/>
  <c r="D80" i="11"/>
  <c r="Z80" i="11"/>
  <c r="AR80" i="11"/>
  <c r="BS80" i="11"/>
  <c r="BP80" i="11"/>
  <c r="BQ80" i="11"/>
  <c r="BR80" i="11"/>
  <c r="D81" i="11"/>
  <c r="Z81" i="11"/>
  <c r="BP81" i="11"/>
  <c r="BQ81" i="11"/>
  <c r="BR81" i="11"/>
  <c r="BS81" i="11"/>
  <c r="D82" i="11"/>
  <c r="Z82" i="11"/>
  <c r="BP82" i="11"/>
  <c r="BQ82" i="11"/>
  <c r="BR82" i="11"/>
  <c r="BS82" i="11"/>
  <c r="D83" i="11"/>
  <c r="Z83" i="11"/>
  <c r="D84" i="11"/>
  <c r="Z84" i="11"/>
  <c r="D85" i="11"/>
  <c r="Z85" i="11"/>
  <c r="D86" i="11"/>
  <c r="Z86" i="11"/>
  <c r="D87" i="11"/>
  <c r="Z87" i="11"/>
  <c r="D88" i="11"/>
  <c r="Z88" i="11"/>
  <c r="BP88" i="11"/>
  <c r="BQ88" i="11"/>
  <c r="BR88" i="11"/>
  <c r="BS88" i="11"/>
  <c r="D89" i="11"/>
  <c r="Z89" i="11"/>
  <c r="BP89" i="11"/>
  <c r="BQ89" i="11"/>
  <c r="BR89" i="11"/>
  <c r="BS89" i="11"/>
  <c r="D90" i="11"/>
  <c r="Z90" i="11"/>
  <c r="AD90" i="11"/>
  <c r="BP90" i="11" s="1"/>
  <c r="AE90" i="11"/>
  <c r="AF90" i="11"/>
  <c r="BS90" i="11" s="1"/>
  <c r="AG90" i="11"/>
  <c r="AH90" i="11"/>
  <c r="AI90" i="11"/>
  <c r="BQ90" i="11"/>
  <c r="D91" i="11"/>
  <c r="Z91" i="11"/>
  <c r="BP91" i="11"/>
  <c r="BQ91" i="11"/>
  <c r="BR91" i="11"/>
  <c r="BS91" i="11"/>
  <c r="D92" i="11"/>
  <c r="Z92" i="11"/>
  <c r="BP92" i="11"/>
  <c r="BQ92" i="11"/>
  <c r="BR92" i="11"/>
  <c r="BS92" i="11"/>
  <c r="D93" i="11"/>
  <c r="Z93" i="11"/>
  <c r="AE93" i="11"/>
  <c r="AI93" i="11"/>
  <c r="BS93" i="11" s="1"/>
  <c r="BP93" i="11"/>
  <c r="BQ93" i="11"/>
  <c r="BR93" i="11"/>
  <c r="D94" i="11"/>
  <c r="Z94" i="11"/>
  <c r="BP94" i="11"/>
  <c r="BQ94" i="11"/>
  <c r="BR94" i="11"/>
  <c r="BS94" i="11"/>
  <c r="D95" i="11"/>
  <c r="Z95" i="11"/>
  <c r="BP95" i="11"/>
  <c r="BQ95" i="11"/>
  <c r="BR95" i="11"/>
  <c r="BS95" i="11"/>
  <c r="D96" i="11"/>
  <c r="Z96" i="11"/>
  <c r="BP96" i="11"/>
  <c r="BQ96" i="11"/>
  <c r="BR96" i="11"/>
  <c r="BS96" i="11"/>
  <c r="D97" i="11"/>
  <c r="Z97" i="11"/>
  <c r="BP97" i="11"/>
  <c r="BQ97" i="11"/>
  <c r="BR97" i="11"/>
  <c r="BS97" i="11"/>
  <c r="D98" i="11"/>
  <c r="Z98" i="11"/>
  <c r="BP98" i="11"/>
  <c r="BQ98" i="11"/>
  <c r="BR98" i="11"/>
  <c r="BS98" i="11"/>
  <c r="D99" i="11"/>
  <c r="Z99" i="11"/>
  <c r="BP99" i="11"/>
  <c r="BQ99" i="11"/>
  <c r="BR99" i="11"/>
  <c r="BS99" i="11"/>
  <c r="D100" i="11"/>
  <c r="Z100" i="11"/>
  <c r="AD100" i="11"/>
  <c r="BP100" i="11" s="1"/>
  <c r="AE100" i="11"/>
  <c r="BR100" i="11" s="1"/>
  <c r="AF100" i="11"/>
  <c r="AI100" i="11"/>
  <c r="BQ100" i="11"/>
  <c r="D101" i="11"/>
  <c r="Z101" i="11"/>
  <c r="BP101" i="11"/>
  <c r="BQ101" i="11"/>
  <c r="BR101" i="11"/>
  <c r="BS101" i="11"/>
  <c r="D102" i="11"/>
  <c r="Z102" i="11"/>
  <c r="BP102" i="11"/>
  <c r="BQ102" i="11"/>
  <c r="BR102" i="11"/>
  <c r="BS102" i="11"/>
  <c r="D103" i="11"/>
  <c r="Z103" i="11"/>
  <c r="AP103" i="11"/>
  <c r="BP103" i="11"/>
  <c r="BQ103" i="11"/>
  <c r="BR103" i="11"/>
  <c r="BS103" i="11"/>
  <c r="D104" i="11"/>
  <c r="Z104" i="11"/>
  <c r="BP104" i="11"/>
  <c r="BQ104" i="11"/>
  <c r="BR104" i="11"/>
  <c r="BS104" i="11"/>
  <c r="D105" i="11"/>
  <c r="Z105" i="11"/>
  <c r="BP105" i="11"/>
  <c r="BQ105" i="11"/>
  <c r="BR105" i="11"/>
  <c r="BS105" i="11"/>
  <c r="D106" i="11"/>
  <c r="Z106" i="11"/>
  <c r="D107" i="11"/>
  <c r="Z107" i="11"/>
  <c r="BP107" i="11"/>
  <c r="BQ107" i="11"/>
  <c r="BR107" i="11"/>
  <c r="BS107" i="11"/>
  <c r="D108" i="11"/>
  <c r="Z108" i="11"/>
  <c r="BP108" i="11"/>
  <c r="BQ108" i="11"/>
  <c r="BR108" i="11"/>
  <c r="BS108" i="11"/>
  <c r="D109" i="11"/>
  <c r="Z109" i="11"/>
  <c r="BP109" i="11"/>
  <c r="BQ109" i="11"/>
  <c r="BR109" i="11"/>
  <c r="BS109" i="11"/>
  <c r="D110" i="11"/>
  <c r="Z110" i="11"/>
  <c r="BP110" i="11"/>
  <c r="BQ110" i="11"/>
  <c r="BR110" i="11"/>
  <c r="BS110" i="11"/>
  <c r="D111" i="11"/>
  <c r="Z111" i="11"/>
  <c r="AG111" i="11"/>
  <c r="BP111" i="11"/>
  <c r="BQ111" i="11"/>
  <c r="BR111" i="11"/>
  <c r="BS111" i="11"/>
  <c r="D112" i="11"/>
  <c r="Z112" i="11"/>
  <c r="BP112" i="11"/>
  <c r="BQ112" i="11"/>
  <c r="BR112" i="11"/>
  <c r="BS112" i="11"/>
  <c r="D113" i="11"/>
  <c r="Z113" i="11"/>
  <c r="AJ113" i="11"/>
  <c r="BP113" i="11"/>
  <c r="BQ113" i="11"/>
  <c r="BR113" i="11"/>
  <c r="BS113" i="11"/>
  <c r="D114" i="11"/>
  <c r="Z114" i="11"/>
  <c r="BP114" i="11"/>
  <c r="BQ114" i="11"/>
  <c r="BR114" i="11"/>
  <c r="BS114" i="11"/>
  <c r="D115" i="11"/>
  <c r="Z115" i="11"/>
  <c r="BP115" i="11"/>
  <c r="BQ115" i="11"/>
  <c r="BR115" i="11"/>
  <c r="BS115" i="11"/>
  <c r="D116" i="11"/>
  <c r="Z116" i="11"/>
  <c r="BP116" i="11"/>
  <c r="BQ116" i="11"/>
  <c r="BR116" i="11"/>
  <c r="BS116" i="11"/>
  <c r="D117" i="11"/>
  <c r="Z117" i="11"/>
  <c r="BP117" i="11"/>
  <c r="BQ117" i="11"/>
  <c r="BR117" i="11"/>
  <c r="BS117" i="11"/>
  <c r="D118" i="11"/>
  <c r="Z118" i="11"/>
  <c r="BP118" i="11"/>
  <c r="BQ118" i="11"/>
  <c r="BR118" i="11"/>
  <c r="BS118" i="11"/>
  <c r="D119" i="11"/>
  <c r="Z119" i="11"/>
  <c r="BP119" i="11"/>
  <c r="BQ119" i="11"/>
  <c r="BR119" i="11"/>
  <c r="BS119" i="11"/>
  <c r="D120" i="11"/>
  <c r="Z120" i="11"/>
  <c r="BP120" i="11"/>
  <c r="BQ120" i="11"/>
  <c r="BR120" i="11"/>
  <c r="BS120" i="11"/>
  <c r="D121" i="11"/>
  <c r="Z121" i="11"/>
  <c r="BP121" i="11"/>
  <c r="BQ121" i="11"/>
  <c r="BR121" i="11"/>
  <c r="BS121" i="11"/>
  <c r="D122" i="11"/>
  <c r="Z122" i="11"/>
  <c r="BP122" i="11"/>
  <c r="BQ122" i="11"/>
  <c r="BR122" i="11"/>
  <c r="BS122" i="11"/>
  <c r="D123" i="11"/>
  <c r="Z123" i="11"/>
  <c r="AK123" i="11"/>
  <c r="AL123" i="11"/>
  <c r="BS123" i="11" s="1"/>
  <c r="BP123" i="11"/>
  <c r="BQ123" i="11"/>
  <c r="BR123" i="11"/>
  <c r="D124" i="11"/>
  <c r="Z124" i="11"/>
  <c r="BP124" i="11"/>
  <c r="BQ124" i="11"/>
  <c r="BR124" i="11"/>
  <c r="BS124" i="11"/>
  <c r="D125" i="11"/>
  <c r="Z125" i="11"/>
  <c r="AK125" i="11"/>
  <c r="BR125" i="11"/>
  <c r="AL125" i="11"/>
  <c r="BS125" i="11" s="1"/>
  <c r="BP125" i="11"/>
  <c r="BQ125" i="11"/>
  <c r="D126" i="11"/>
  <c r="Z126" i="11"/>
  <c r="BP126" i="11"/>
  <c r="BQ126" i="11"/>
  <c r="BR126" i="11"/>
  <c r="BS126" i="11"/>
  <c r="D127" i="11"/>
  <c r="Z127" i="11"/>
  <c r="BP127" i="11"/>
  <c r="BQ127" i="11"/>
  <c r="BR127" i="11"/>
  <c r="BS127" i="11"/>
  <c r="D128" i="11"/>
  <c r="Z128" i="11"/>
  <c r="D129" i="11"/>
  <c r="Z129" i="11"/>
  <c r="AP129" i="11"/>
  <c r="BP129" i="11"/>
  <c r="BQ129" i="11"/>
  <c r="BR129" i="11"/>
  <c r="BS129" i="11"/>
  <c r="D130" i="11"/>
  <c r="Z130" i="11"/>
  <c r="BP130" i="11"/>
  <c r="BQ130" i="11"/>
  <c r="BR130" i="11"/>
  <c r="BS130" i="11"/>
  <c r="D131" i="11"/>
  <c r="Z131" i="11"/>
  <c r="BP131" i="11"/>
  <c r="BQ131" i="11"/>
  <c r="BR131" i="11"/>
  <c r="BS131" i="11"/>
  <c r="D132" i="11"/>
  <c r="Z132" i="11"/>
  <c r="BP132" i="11"/>
  <c r="BQ132" i="11"/>
  <c r="BR132" i="11"/>
  <c r="BS132" i="11"/>
  <c r="D133" i="11"/>
  <c r="Z133" i="11"/>
  <c r="BP133" i="11"/>
  <c r="BQ133" i="11"/>
  <c r="BR133" i="11"/>
  <c r="BS133" i="11"/>
  <c r="D134" i="11"/>
  <c r="Z134" i="11"/>
  <c r="BP134" i="11"/>
  <c r="BQ134" i="11"/>
  <c r="BR134" i="11"/>
  <c r="BS134" i="11"/>
  <c r="D135" i="11"/>
  <c r="Z135" i="11"/>
  <c r="BP135" i="11"/>
  <c r="BQ135" i="11"/>
  <c r="BR135" i="11"/>
  <c r="BS135" i="11"/>
  <c r="D136" i="11"/>
  <c r="Z136" i="11"/>
  <c r="BP136" i="11"/>
  <c r="BQ136" i="11"/>
  <c r="BR136" i="11"/>
  <c r="BS136" i="11"/>
  <c r="D137" i="11"/>
  <c r="Z137" i="11"/>
  <c r="BP137" i="11"/>
  <c r="BQ137" i="11"/>
  <c r="BR137" i="11"/>
  <c r="BS137" i="11"/>
  <c r="D138" i="11"/>
  <c r="Z138" i="11"/>
  <c r="D139" i="11"/>
  <c r="Z139" i="11"/>
  <c r="D140" i="11"/>
  <c r="Z140" i="11"/>
  <c r="D141" i="11"/>
  <c r="Z141" i="11"/>
  <c r="T142" i="11"/>
  <c r="U142" i="11"/>
  <c r="BQ142" i="11"/>
  <c r="V142" i="11"/>
  <c r="W142" i="11"/>
  <c r="X142" i="11"/>
  <c r="Y142" i="11"/>
  <c r="AJ142" i="11"/>
  <c r="D143" i="11"/>
  <c r="Z143" i="11"/>
  <c r="BP143" i="11"/>
  <c r="BQ143" i="11"/>
  <c r="BR143" i="11"/>
  <c r="BS143" i="11"/>
  <c r="D144" i="11"/>
  <c r="Z144" i="11"/>
  <c r="BP144" i="11"/>
  <c r="BQ144" i="11"/>
  <c r="BR144" i="11"/>
  <c r="BS144" i="11"/>
  <c r="D145" i="11"/>
  <c r="Z145" i="11"/>
  <c r="BP145" i="11"/>
  <c r="BQ145" i="11"/>
  <c r="BR145" i="11"/>
  <c r="BS145" i="11"/>
  <c r="D146" i="11"/>
  <c r="Z146" i="11"/>
  <c r="BP146" i="11"/>
  <c r="BQ146" i="11"/>
  <c r="BR146" i="11"/>
  <c r="BS146" i="11"/>
  <c r="D147" i="11"/>
  <c r="Z147" i="11"/>
  <c r="BP147" i="11"/>
  <c r="BQ147" i="11"/>
  <c r="BR147" i="11"/>
  <c r="BS147" i="11"/>
  <c r="D148" i="11"/>
  <c r="Z148" i="11"/>
  <c r="BP148" i="11"/>
  <c r="BQ148" i="11"/>
  <c r="BR148" i="11"/>
  <c r="BS148" i="11"/>
  <c r="D149" i="11"/>
  <c r="Z149" i="11"/>
  <c r="BP149" i="11"/>
  <c r="BQ149" i="11"/>
  <c r="BR149" i="11"/>
  <c r="BS149" i="11"/>
  <c r="D150" i="11"/>
  <c r="Z150" i="11"/>
  <c r="BP150" i="11"/>
  <c r="BQ150" i="11"/>
  <c r="BR150" i="11"/>
  <c r="BS150" i="11"/>
  <c r="D151" i="11"/>
  <c r="Z151" i="11"/>
  <c r="BP151" i="11"/>
  <c r="BQ151" i="11"/>
  <c r="BR151" i="11"/>
  <c r="BS151" i="11"/>
  <c r="D152" i="11"/>
  <c r="Z152" i="11"/>
  <c r="BP152" i="11"/>
  <c r="BQ152" i="11"/>
  <c r="BR152" i="11"/>
  <c r="BS152" i="11"/>
  <c r="D153" i="11"/>
  <c r="Z153" i="11"/>
  <c r="BP153" i="11"/>
  <c r="BQ153" i="11"/>
  <c r="BR153" i="11"/>
  <c r="BS153" i="11"/>
  <c r="D154" i="11"/>
  <c r="Z154" i="11"/>
  <c r="D155" i="11"/>
  <c r="Z155" i="11"/>
  <c r="BP155" i="11"/>
  <c r="BQ155" i="11"/>
  <c r="BR155" i="11"/>
  <c r="BS155" i="11"/>
  <c r="D156" i="11"/>
  <c r="Z156" i="11"/>
  <c r="BP156" i="11"/>
  <c r="BQ156" i="11"/>
  <c r="BR156" i="11"/>
  <c r="BS156" i="11"/>
  <c r="D157" i="11"/>
  <c r="Z157" i="11"/>
  <c r="BP157" i="11"/>
  <c r="BQ157" i="11"/>
  <c r="D158" i="11"/>
  <c r="Z158" i="11"/>
  <c r="BP158" i="11"/>
  <c r="BQ158" i="11"/>
  <c r="D159" i="11"/>
  <c r="Z159" i="11"/>
  <c r="BP159" i="11"/>
  <c r="BQ159" i="11"/>
  <c r="BR159" i="11"/>
  <c r="BS159" i="11"/>
  <c r="D160" i="11"/>
  <c r="Z160" i="11"/>
  <c r="BP160" i="11"/>
  <c r="BQ160" i="11"/>
  <c r="BR160" i="11"/>
  <c r="BS160" i="11"/>
  <c r="D161" i="11"/>
  <c r="Z161" i="11"/>
  <c r="BP161" i="11"/>
  <c r="BQ161" i="11"/>
  <c r="D162" i="11"/>
  <c r="Z162" i="11"/>
  <c r="BP162" i="11"/>
  <c r="BQ162" i="11"/>
  <c r="D163" i="11"/>
  <c r="Z163" i="11"/>
  <c r="BP163" i="11"/>
  <c r="D164" i="11"/>
  <c r="Z164" i="11"/>
  <c r="AD164" i="11"/>
  <c r="BP164" i="11" s="1"/>
  <c r="AF164" i="11"/>
  <c r="BS164" i="11" s="1"/>
  <c r="BQ164" i="11"/>
  <c r="BR164" i="11"/>
  <c r="D165" i="11"/>
  <c r="Z165" i="11"/>
  <c r="BP165" i="11"/>
  <c r="BQ165" i="11"/>
  <c r="BR165" i="11"/>
  <c r="BS165" i="11"/>
  <c r="D166" i="11"/>
  <c r="Z166" i="11"/>
  <c r="BP166" i="11"/>
  <c r="BQ166" i="11"/>
  <c r="BR166" i="11"/>
  <c r="BS166" i="11"/>
  <c r="D167" i="11"/>
  <c r="Z167" i="11"/>
  <c r="AA167" i="11"/>
  <c r="AA142" i="11" s="1"/>
  <c r="AB167" i="11"/>
  <c r="AB142" i="11"/>
  <c r="AC167" i="11"/>
  <c r="AE167" i="11"/>
  <c r="AE142" i="11" s="1"/>
  <c r="AF167" i="11"/>
  <c r="AH167" i="11"/>
  <c r="AH142" i="11"/>
  <c r="AI167" i="11"/>
  <c r="AK167" i="11"/>
  <c r="AK142" i="11"/>
  <c r="AL167" i="11"/>
  <c r="AL142" i="11" s="1"/>
  <c r="AN167" i="11"/>
  <c r="AN142" i="11"/>
  <c r="AO167" i="11"/>
  <c r="AO142" i="11" s="1"/>
  <c r="AQ167" i="11"/>
  <c r="AQ142" i="11" s="1"/>
  <c r="AR167" i="11"/>
  <c r="AR142" i="11" s="1"/>
  <c r="BQ167" i="11"/>
  <c r="D168" i="11"/>
  <c r="Z168" i="11"/>
  <c r="D169" i="11"/>
  <c r="Z169" i="11"/>
  <c r="D170" i="11"/>
  <c r="Z170" i="11"/>
  <c r="D171" i="11"/>
  <c r="Z171" i="11"/>
  <c r="D172" i="11"/>
  <c r="Z172" i="11"/>
  <c r="D173" i="11"/>
  <c r="Z173" i="11"/>
  <c r="D174" i="11"/>
  <c r="Z174" i="11"/>
  <c r="D175" i="11"/>
  <c r="Z175" i="11"/>
  <c r="AD175" i="11"/>
  <c r="BP175" i="11"/>
  <c r="BQ175" i="11"/>
  <c r="BR175" i="11"/>
  <c r="BS175" i="11"/>
  <c r="D176" i="11"/>
  <c r="Z176" i="11"/>
  <c r="BP176" i="11"/>
  <c r="BQ176" i="11"/>
  <c r="BR176" i="11"/>
  <c r="BS176" i="11"/>
  <c r="D177" i="11"/>
  <c r="Z177" i="11"/>
  <c r="BP177" i="11"/>
  <c r="BQ177" i="11"/>
  <c r="BR177" i="11"/>
  <c r="BS177" i="11"/>
  <c r="D178" i="11"/>
  <c r="Z178" i="11"/>
  <c r="BP178" i="11"/>
  <c r="BQ178" i="11"/>
  <c r="BR178" i="11"/>
  <c r="BS178" i="11"/>
  <c r="D179" i="11"/>
  <c r="Z179" i="11"/>
  <c r="BP179" i="11"/>
  <c r="BQ179" i="11"/>
  <c r="BR179" i="11"/>
  <c r="BS179" i="11"/>
  <c r="D180" i="11"/>
  <c r="Z180" i="11"/>
  <c r="BP180" i="11"/>
  <c r="BQ180" i="11"/>
  <c r="BR180" i="11"/>
  <c r="BS180" i="11"/>
  <c r="D181" i="11"/>
  <c r="Z181" i="11"/>
  <c r="BP181" i="11"/>
  <c r="BQ181" i="11"/>
  <c r="BR181" i="11"/>
  <c r="BS181" i="11"/>
  <c r="D182" i="11"/>
  <c r="Z182" i="11"/>
  <c r="BP182" i="11"/>
  <c r="BQ182" i="11"/>
  <c r="BR182" i="11"/>
  <c r="BS182" i="11"/>
  <c r="D183" i="11"/>
  <c r="Z183" i="11"/>
  <c r="AO183" i="11"/>
  <c r="BS183" i="11"/>
  <c r="BP183" i="11"/>
  <c r="BQ183" i="11"/>
  <c r="BR183" i="11"/>
  <c r="D184" i="11"/>
  <c r="Z184" i="11"/>
  <c r="BP184" i="11"/>
  <c r="BQ184" i="11"/>
  <c r="BR184" i="11"/>
  <c r="BS184" i="11"/>
  <c r="D185" i="11"/>
  <c r="Z185" i="11"/>
  <c r="BP185" i="11"/>
  <c r="BQ185" i="11"/>
  <c r="BR185" i="11"/>
  <c r="BS185" i="11"/>
  <c r="D186" i="11"/>
  <c r="Z186" i="11"/>
  <c r="AJ186" i="11"/>
  <c r="BP186" i="11"/>
  <c r="AL186" i="11"/>
  <c r="BQ186" i="11"/>
  <c r="BR186" i="11"/>
  <c r="BS186" i="11"/>
  <c r="D187" i="11"/>
  <c r="Z187" i="11"/>
  <c r="D188" i="11"/>
  <c r="Z188" i="11"/>
  <c r="D189" i="11"/>
  <c r="Z189" i="11"/>
  <c r="BP189" i="11"/>
  <c r="BQ189" i="11"/>
  <c r="BR189" i="11"/>
  <c r="BS189" i="11"/>
  <c r="D190" i="11"/>
  <c r="Z190" i="11"/>
  <c r="AA190" i="11"/>
  <c r="AD190" i="11"/>
  <c r="AG190" i="11"/>
  <c r="AG142" i="11"/>
  <c r="BQ190" i="11"/>
  <c r="BR190" i="11"/>
  <c r="BS190" i="11"/>
  <c r="D191" i="11"/>
  <c r="Z191" i="11"/>
  <c r="BP191" i="11"/>
  <c r="BQ191" i="11"/>
  <c r="BR191" i="11"/>
  <c r="BS191" i="11"/>
  <c r="D192" i="11"/>
  <c r="Z192" i="11"/>
  <c r="BP192" i="11"/>
  <c r="BQ192" i="11"/>
  <c r="BR192" i="11"/>
  <c r="BS192" i="11"/>
  <c r="D193" i="11"/>
  <c r="Z193" i="11"/>
  <c r="BP193" i="11"/>
  <c r="D194" i="11"/>
  <c r="Z194" i="11"/>
  <c r="BP194" i="11"/>
  <c r="BQ194" i="11"/>
  <c r="BR194" i="11"/>
  <c r="BS194" i="11"/>
  <c r="D195" i="11"/>
  <c r="Z195" i="11"/>
  <c r="BP195" i="11"/>
  <c r="BQ195" i="11"/>
  <c r="BR195" i="11"/>
  <c r="BS195" i="11"/>
  <c r="D196" i="11"/>
  <c r="Z196" i="11"/>
  <c r="BP196" i="11"/>
  <c r="BQ196" i="11"/>
  <c r="BR196" i="11"/>
  <c r="BS196" i="11"/>
  <c r="D197" i="11"/>
  <c r="Z197" i="11"/>
  <c r="BP197" i="11"/>
  <c r="BQ197" i="11"/>
  <c r="BR197" i="11"/>
  <c r="BS197" i="11"/>
  <c r="D198" i="11"/>
  <c r="Z198" i="11"/>
  <c r="BP198" i="11"/>
  <c r="BQ198" i="11"/>
  <c r="BR198" i="11"/>
  <c r="BS198" i="11"/>
  <c r="D199" i="11"/>
  <c r="Z199" i="11"/>
  <c r="AM199" i="11"/>
  <c r="AM142" i="11"/>
  <c r="BP199" i="11"/>
  <c r="BQ199" i="11"/>
  <c r="BR199" i="11"/>
  <c r="BS199" i="11"/>
  <c r="D200" i="11"/>
  <c r="Z200" i="11"/>
  <c r="BP200" i="11"/>
  <c r="BQ200" i="11"/>
  <c r="BR200" i="11"/>
  <c r="BS200" i="11"/>
  <c r="D201" i="11"/>
  <c r="Z201" i="11"/>
  <c r="BP201" i="11"/>
  <c r="BQ201" i="11"/>
  <c r="BR201" i="11"/>
  <c r="BS201" i="11"/>
  <c r="D202" i="11"/>
  <c r="Z202" i="11"/>
  <c r="BP202" i="11"/>
  <c r="BQ202" i="11"/>
  <c r="BR202" i="11"/>
  <c r="BS202" i="11"/>
  <c r="D203" i="11"/>
  <c r="Z203" i="11"/>
  <c r="BP203" i="11"/>
  <c r="BQ203" i="11"/>
  <c r="BR203" i="11"/>
  <c r="BS203" i="11"/>
  <c r="D204" i="11"/>
  <c r="Z204" i="11"/>
  <c r="AP204" i="11"/>
  <c r="AP142" i="11" s="1"/>
  <c r="BP204" i="11"/>
  <c r="BQ204" i="11"/>
  <c r="BR204" i="11"/>
  <c r="BS204" i="11"/>
  <c r="D205" i="11"/>
  <c r="Z205" i="11"/>
  <c r="AG205" i="11"/>
  <c r="BP205" i="11"/>
  <c r="BQ205" i="11"/>
  <c r="BR205" i="11"/>
  <c r="BS205" i="11"/>
  <c r="D206" i="11"/>
  <c r="Z206" i="11"/>
  <c r="D207" i="11"/>
  <c r="Z207" i="11"/>
  <c r="BP207" i="11"/>
  <c r="BQ207" i="11"/>
  <c r="BR207" i="11"/>
  <c r="BS207" i="11"/>
  <c r="D208" i="11"/>
  <c r="Z208" i="11"/>
  <c r="AO208" i="11"/>
  <c r="BS208" i="11" s="1"/>
  <c r="BP208" i="11"/>
  <c r="BQ208" i="11"/>
  <c r="BR208" i="11"/>
  <c r="D209" i="11"/>
  <c r="Z209" i="11"/>
  <c r="BP209" i="11"/>
  <c r="BQ209" i="11"/>
  <c r="BR209" i="11"/>
  <c r="BS209" i="11"/>
  <c r="D210" i="11"/>
  <c r="Z210" i="11"/>
  <c r="T211" i="11"/>
  <c r="T270" i="11" s="1"/>
  <c r="U211" i="11"/>
  <c r="BQ211" i="11"/>
  <c r="V211" i="11"/>
  <c r="W211" i="11"/>
  <c r="X211" i="11"/>
  <c r="Y211" i="11"/>
  <c r="AA211" i="11"/>
  <c r="AB211" i="11"/>
  <c r="BR211" i="11" s="1"/>
  <c r="AC211" i="11"/>
  <c r="AD211" i="11"/>
  <c r="AE211" i="11"/>
  <c r="AF211" i="11"/>
  <c r="AG211" i="11"/>
  <c r="AH211" i="11"/>
  <c r="AI211" i="11"/>
  <c r="AJ211" i="11"/>
  <c r="AK211" i="11"/>
  <c r="AL211" i="11"/>
  <c r="AM211" i="11"/>
  <c r="AN211" i="11"/>
  <c r="AO211" i="11"/>
  <c r="AP211" i="11"/>
  <c r="AQ211" i="11"/>
  <c r="AR211" i="11"/>
  <c r="D212" i="11"/>
  <c r="Z212" i="11"/>
  <c r="BP212" i="11"/>
  <c r="BQ212" i="11"/>
  <c r="BR212" i="11"/>
  <c r="BS212" i="11"/>
  <c r="D213" i="11"/>
  <c r="Z213" i="11"/>
  <c r="BP213" i="11"/>
  <c r="BQ213" i="11"/>
  <c r="BR213" i="11"/>
  <c r="BS213" i="11"/>
  <c r="D214" i="11"/>
  <c r="Z214" i="11"/>
  <c r="BP214" i="11"/>
  <c r="BQ214" i="11"/>
  <c r="BR214" i="11"/>
  <c r="BS214" i="11"/>
  <c r="D215" i="11"/>
  <c r="Z215" i="11"/>
  <c r="BP215" i="11"/>
  <c r="BQ215" i="11"/>
  <c r="BR215" i="11"/>
  <c r="BS215" i="11"/>
  <c r="D216" i="11"/>
  <c r="Z216" i="11"/>
  <c r="BP216" i="11"/>
  <c r="BQ216" i="11"/>
  <c r="BR216" i="11"/>
  <c r="BS216" i="11"/>
  <c r="D217" i="11"/>
  <c r="Z217" i="11"/>
  <c r="BP217" i="11"/>
  <c r="BQ217" i="11"/>
  <c r="BR217" i="11"/>
  <c r="BS217" i="11"/>
  <c r="D218" i="11"/>
  <c r="Z218" i="11"/>
  <c r="BP218" i="11"/>
  <c r="BQ218" i="11"/>
  <c r="BR218" i="11"/>
  <c r="BS218" i="11"/>
  <c r="T219" i="11"/>
  <c r="U219" i="11"/>
  <c r="BQ219" i="11"/>
  <c r="V219" i="11"/>
  <c r="W219" i="11"/>
  <c r="W270" i="11" s="1"/>
  <c r="Y219" i="11"/>
  <c r="Y270" i="11" s="1"/>
  <c r="AA219" i="11"/>
  <c r="AB219" i="11"/>
  <c r="AC219" i="11"/>
  <c r="AD219" i="11"/>
  <c r="AF219" i="11"/>
  <c r="AG219" i="11"/>
  <c r="AH219" i="11"/>
  <c r="AI219" i="11"/>
  <c r="AJ219" i="11"/>
  <c r="AK219" i="11"/>
  <c r="AL219" i="11"/>
  <c r="AM219" i="11"/>
  <c r="AO219" i="11"/>
  <c r="AP219" i="11"/>
  <c r="AR219" i="11"/>
  <c r="D220" i="11"/>
  <c r="Z220" i="11"/>
  <c r="BP220" i="11"/>
  <c r="BQ220" i="11"/>
  <c r="BR220" i="11"/>
  <c r="BS220" i="11"/>
  <c r="D221" i="11"/>
  <c r="Z221" i="11"/>
  <c r="AL221" i="11"/>
  <c r="BP221" i="11"/>
  <c r="BQ221" i="11"/>
  <c r="BR221" i="11"/>
  <c r="BS221" i="11"/>
  <c r="D222" i="11"/>
  <c r="X222" i="11"/>
  <c r="X219" i="11"/>
  <c r="Z222" i="11"/>
  <c r="BP222" i="11"/>
  <c r="BQ222" i="11"/>
  <c r="BR222" i="11"/>
  <c r="D223" i="11"/>
  <c r="Z223" i="11"/>
  <c r="AQ223" i="11"/>
  <c r="AQ219" i="11"/>
  <c r="BP223" i="11"/>
  <c r="BQ223" i="11"/>
  <c r="BR223" i="11"/>
  <c r="BS223" i="11"/>
  <c r="D224" i="11"/>
  <c r="Z224" i="11"/>
  <c r="BP224" i="11"/>
  <c r="BQ224" i="11"/>
  <c r="BR224" i="11"/>
  <c r="BS224" i="11"/>
  <c r="D225" i="11"/>
  <c r="Z225" i="11"/>
  <c r="AE225" i="11"/>
  <c r="BP225" i="11"/>
  <c r="BQ225" i="11"/>
  <c r="BR225" i="11"/>
  <c r="BS225" i="11"/>
  <c r="D226" i="11"/>
  <c r="Z226" i="11"/>
  <c r="BP226" i="11"/>
  <c r="BQ226" i="11"/>
  <c r="BR226" i="11"/>
  <c r="BS226" i="11"/>
  <c r="D227" i="11"/>
  <c r="Z227" i="11"/>
  <c r="BP227" i="11"/>
  <c r="BQ227" i="11"/>
  <c r="BR227" i="11"/>
  <c r="BS227" i="11"/>
  <c r="D228" i="11"/>
  <c r="Z228" i="11"/>
  <c r="BP228" i="11"/>
  <c r="BQ228" i="11"/>
  <c r="BR228" i="11"/>
  <c r="BS228" i="11"/>
  <c r="D229" i="11"/>
  <c r="Z229" i="11"/>
  <c r="D230" i="11"/>
  <c r="Z231" i="11"/>
  <c r="D232" i="11"/>
  <c r="Z232" i="11"/>
  <c r="BP232" i="11"/>
  <c r="BQ232" i="11"/>
  <c r="BR232" i="11"/>
  <c r="BS232" i="11"/>
  <c r="D233" i="11"/>
  <c r="Z233" i="11"/>
  <c r="BP233" i="11"/>
  <c r="BQ233" i="11"/>
  <c r="BR233" i="11"/>
  <c r="BS233" i="11"/>
  <c r="D234" i="11"/>
  <c r="Z234" i="11"/>
  <c r="BP234" i="11"/>
  <c r="BQ234" i="11"/>
  <c r="BR234" i="11"/>
  <c r="BS234" i="11"/>
  <c r="D235" i="11"/>
  <c r="Z235" i="11"/>
  <c r="AE235" i="11"/>
  <c r="AE219" i="11" s="1"/>
  <c r="AN235" i="11"/>
  <c r="AN219" i="11" s="1"/>
  <c r="BP235" i="11"/>
  <c r="BQ235" i="11"/>
  <c r="BR235" i="11"/>
  <c r="BS235" i="11"/>
  <c r="D236" i="11"/>
  <c r="Z236" i="11"/>
  <c r="BP236" i="11"/>
  <c r="BQ236" i="11"/>
  <c r="BR236" i="11"/>
  <c r="BS236" i="11"/>
  <c r="D237" i="11"/>
  <c r="Z237" i="11"/>
  <c r="D238" i="11"/>
  <c r="Z238" i="11"/>
  <c r="D239" i="11"/>
  <c r="Z239" i="11"/>
  <c r="BP239" i="11"/>
  <c r="BQ239" i="11"/>
  <c r="BR239" i="11"/>
  <c r="BS239" i="11"/>
  <c r="D240" i="11"/>
  <c r="Z240" i="11"/>
  <c r="BP240" i="11"/>
  <c r="BQ240" i="11"/>
  <c r="BR240" i="11"/>
  <c r="BS240" i="11"/>
  <c r="D241" i="11"/>
  <c r="Z241" i="11"/>
  <c r="BP241" i="11"/>
  <c r="BQ241" i="11"/>
  <c r="BR241" i="11"/>
  <c r="BS241" i="11"/>
  <c r="D242" i="11"/>
  <c r="Z242" i="11"/>
  <c r="BP242" i="11"/>
  <c r="BQ242" i="11"/>
  <c r="BR242" i="11"/>
  <c r="BS242" i="11"/>
  <c r="D243" i="11"/>
  <c r="Z243" i="11"/>
  <c r="BP243" i="11"/>
  <c r="BQ243" i="11"/>
  <c r="BR243" i="11"/>
  <c r="BS243" i="11"/>
  <c r="D244" i="11"/>
  <c r="Z244" i="11"/>
  <c r="BP244" i="11"/>
  <c r="BQ244" i="11"/>
  <c r="BR244" i="11"/>
  <c r="BS244" i="11"/>
  <c r="D245" i="11"/>
  <c r="Z245" i="11"/>
  <c r="BP245" i="11"/>
  <c r="BQ245" i="11"/>
  <c r="BR245" i="11"/>
  <c r="BS245" i="11"/>
  <c r="D246" i="11"/>
  <c r="Z246" i="11"/>
  <c r="BP246" i="11"/>
  <c r="BQ246" i="11"/>
  <c r="BR246" i="11"/>
  <c r="BS246" i="11"/>
  <c r="D247" i="11"/>
  <c r="Z247" i="11"/>
  <c r="BP247" i="11"/>
  <c r="BQ247" i="11"/>
  <c r="BR247" i="11"/>
  <c r="BS247" i="11"/>
  <c r="D248" i="11"/>
  <c r="Z248" i="11"/>
  <c r="AK248" i="11"/>
  <c r="AL248" i="11"/>
  <c r="BP248" i="11"/>
  <c r="BQ248" i="11"/>
  <c r="BR248" i="11"/>
  <c r="BS248" i="11"/>
  <c r="D249" i="11"/>
  <c r="Z249" i="11"/>
  <c r="BP249" i="11"/>
  <c r="BQ249" i="11"/>
  <c r="BR249" i="11"/>
  <c r="BS249" i="11"/>
  <c r="D250" i="11"/>
  <c r="Z250" i="11"/>
  <c r="BP250" i="11"/>
  <c r="BQ250" i="11"/>
  <c r="BR250" i="11"/>
  <c r="BS250" i="11"/>
  <c r="D251" i="11"/>
  <c r="Z251" i="11"/>
  <c r="BP251" i="11"/>
  <c r="BQ251" i="11"/>
  <c r="BR251" i="11"/>
  <c r="BS251" i="11"/>
  <c r="D252" i="11"/>
  <c r="Z252" i="11"/>
  <c r="D253" i="11"/>
  <c r="D254" i="11"/>
  <c r="Z254" i="11"/>
  <c r="D255" i="11"/>
  <c r="Z255" i="11"/>
  <c r="D256" i="11"/>
  <c r="Z256" i="11"/>
  <c r="D257" i="11"/>
  <c r="Z257" i="11"/>
  <c r="D258" i="11"/>
  <c r="D259" i="11"/>
  <c r="D260" i="11"/>
  <c r="Z260" i="11"/>
  <c r="D261" i="11"/>
  <c r="Z261" i="11"/>
  <c r="D262" i="11"/>
  <c r="Z262" i="11"/>
  <c r="D263" i="11"/>
  <c r="D264" i="11"/>
  <c r="D265" i="11"/>
  <c r="D266" i="11"/>
  <c r="D267" i="11"/>
  <c r="Z267" i="11"/>
  <c r="D268" i="11"/>
  <c r="BP190" i="11"/>
  <c r="AF142" i="11"/>
  <c r="BS100" i="11"/>
  <c r="BS222" i="11"/>
  <c r="AI142" i="11"/>
  <c r="E257" i="10"/>
  <c r="D257" i="10"/>
  <c r="C257" i="10"/>
  <c r="B257" i="10"/>
  <c r="E256" i="10"/>
  <c r="D256" i="10"/>
  <c r="C256" i="10"/>
  <c r="B256" i="10"/>
  <c r="E255" i="10"/>
  <c r="D255" i="10"/>
  <c r="C255" i="10"/>
  <c r="B255" i="10"/>
  <c r="E254" i="10"/>
  <c r="D254" i="10"/>
  <c r="C254" i="10"/>
  <c r="B254" i="10"/>
  <c r="E253" i="10"/>
  <c r="D253" i="10"/>
  <c r="C253" i="10"/>
  <c r="B253" i="10"/>
  <c r="E249" i="10"/>
  <c r="D249" i="10"/>
  <c r="C249" i="10"/>
  <c r="B249" i="10"/>
  <c r="E248" i="10"/>
  <c r="D248" i="10"/>
  <c r="C248" i="10"/>
  <c r="B248" i="10"/>
  <c r="E247" i="10"/>
  <c r="D247" i="10"/>
  <c r="C247" i="10"/>
  <c r="B247" i="10"/>
  <c r="E246" i="10"/>
  <c r="D246" i="10"/>
  <c r="C246" i="10"/>
  <c r="B246" i="10"/>
  <c r="E245" i="10"/>
  <c r="D245" i="10"/>
  <c r="C245" i="10"/>
  <c r="B245" i="10"/>
  <c r="E241" i="10"/>
  <c r="D241" i="10"/>
  <c r="C241" i="10"/>
  <c r="B241" i="10"/>
  <c r="E240" i="10"/>
  <c r="D240" i="10"/>
  <c r="C240" i="10"/>
  <c r="B240" i="10"/>
  <c r="E239" i="10"/>
  <c r="D239" i="10"/>
  <c r="C239" i="10"/>
  <c r="B239" i="10"/>
  <c r="E238" i="10"/>
  <c r="D238" i="10"/>
  <c r="C238" i="10"/>
  <c r="B238" i="10"/>
  <c r="E237" i="10"/>
  <c r="D237" i="10"/>
  <c r="C237" i="10"/>
  <c r="B237" i="10"/>
  <c r="E233" i="10"/>
  <c r="D233" i="10"/>
  <c r="C233" i="10"/>
  <c r="B233" i="10"/>
  <c r="E232" i="10"/>
  <c r="D232" i="10"/>
  <c r="C232" i="10"/>
  <c r="B232" i="10"/>
  <c r="E231" i="10"/>
  <c r="D231" i="10"/>
  <c r="C231" i="10"/>
  <c r="B231" i="10"/>
  <c r="E230" i="10"/>
  <c r="D230" i="10"/>
  <c r="C230" i="10"/>
  <c r="B230" i="10"/>
  <c r="E229" i="10"/>
  <c r="D229" i="10"/>
  <c r="C229" i="10"/>
  <c r="B229" i="10"/>
  <c r="E225" i="10"/>
  <c r="D225" i="10"/>
  <c r="C225" i="10"/>
  <c r="B225" i="10"/>
  <c r="E224" i="10"/>
  <c r="D224" i="10"/>
  <c r="C224" i="10"/>
  <c r="B224" i="10"/>
  <c r="E223" i="10"/>
  <c r="D223" i="10"/>
  <c r="C223" i="10"/>
  <c r="B223" i="10"/>
  <c r="E222" i="10"/>
  <c r="D222" i="10"/>
  <c r="C222" i="10"/>
  <c r="B222" i="10"/>
  <c r="E221" i="10"/>
  <c r="D221" i="10"/>
  <c r="C221" i="10"/>
  <c r="B221" i="10"/>
  <c r="E217" i="10"/>
  <c r="D217" i="10"/>
  <c r="C217" i="10"/>
  <c r="B217" i="10"/>
  <c r="E216" i="10"/>
  <c r="D216" i="10"/>
  <c r="C216" i="10"/>
  <c r="B216" i="10"/>
  <c r="E215" i="10"/>
  <c r="D215" i="10"/>
  <c r="C215" i="10"/>
  <c r="B215" i="10"/>
  <c r="E214" i="10"/>
  <c r="D214" i="10"/>
  <c r="C214" i="10"/>
  <c r="B214" i="10"/>
  <c r="E213" i="10"/>
  <c r="D213" i="10"/>
  <c r="C213" i="10"/>
  <c r="B213" i="10"/>
  <c r="E209" i="10"/>
  <c r="D209" i="10"/>
  <c r="C209" i="10"/>
  <c r="B209" i="10"/>
  <c r="E208" i="10"/>
  <c r="D208" i="10"/>
  <c r="C208" i="10"/>
  <c r="B208" i="10"/>
  <c r="E207" i="10"/>
  <c r="D207" i="10"/>
  <c r="C207" i="10"/>
  <c r="B207" i="10"/>
  <c r="E206" i="10"/>
  <c r="D206" i="10"/>
  <c r="C206" i="10"/>
  <c r="B206" i="10"/>
  <c r="E205" i="10"/>
  <c r="D205" i="10"/>
  <c r="C205" i="10"/>
  <c r="B205" i="10"/>
  <c r="E201" i="10"/>
  <c r="D201" i="10"/>
  <c r="C201" i="10"/>
  <c r="B201" i="10"/>
  <c r="E200" i="10"/>
  <c r="D200" i="10"/>
  <c r="C200" i="10"/>
  <c r="B200" i="10"/>
  <c r="E199" i="10"/>
  <c r="D199" i="10"/>
  <c r="C199" i="10"/>
  <c r="B199" i="10"/>
  <c r="E198" i="10"/>
  <c r="D198" i="10"/>
  <c r="C198" i="10"/>
  <c r="B198" i="10"/>
  <c r="E197" i="10"/>
  <c r="D197" i="10"/>
  <c r="C197" i="10"/>
  <c r="B197" i="10"/>
  <c r="G191" i="10"/>
  <c r="F191" i="10"/>
  <c r="E191" i="10"/>
  <c r="D191" i="10"/>
  <c r="C191" i="10"/>
  <c r="B191" i="10"/>
  <c r="G190" i="10"/>
  <c r="F190" i="10"/>
  <c r="E190" i="10"/>
  <c r="D190" i="10"/>
  <c r="C190" i="10"/>
  <c r="B190" i="10"/>
  <c r="G189" i="10"/>
  <c r="F189" i="10"/>
  <c r="E189" i="10"/>
  <c r="D189" i="10"/>
  <c r="C189" i="10"/>
  <c r="B189" i="10"/>
  <c r="G188" i="10"/>
  <c r="F188" i="10"/>
  <c r="E188" i="10"/>
  <c r="D188" i="10"/>
  <c r="C188" i="10"/>
  <c r="B188" i="10"/>
  <c r="G187" i="10"/>
  <c r="F187" i="10"/>
  <c r="E187" i="10"/>
  <c r="D187" i="10"/>
  <c r="C187" i="10"/>
  <c r="B187" i="10"/>
  <c r="G186" i="10"/>
  <c r="F186" i="10"/>
  <c r="E186" i="10"/>
  <c r="D186" i="10"/>
  <c r="C186" i="10"/>
  <c r="B186" i="10"/>
  <c r="G185" i="10"/>
  <c r="F185" i="10"/>
  <c r="E185" i="10"/>
  <c r="D185" i="10"/>
  <c r="C185" i="10"/>
  <c r="B185" i="10"/>
  <c r="G184" i="10"/>
  <c r="F184" i="10"/>
  <c r="E184" i="10"/>
  <c r="D184" i="10"/>
  <c r="C184" i="10"/>
  <c r="B184" i="10"/>
  <c r="G183" i="10"/>
  <c r="F183" i="10"/>
  <c r="E183" i="10"/>
  <c r="D183" i="10"/>
  <c r="C183" i="10"/>
  <c r="B183" i="10"/>
  <c r="G182" i="10"/>
  <c r="F182" i="10"/>
  <c r="E182" i="10"/>
  <c r="D182" i="10"/>
  <c r="C182" i="10"/>
  <c r="B182" i="10"/>
  <c r="G178" i="10"/>
  <c r="F178" i="10"/>
  <c r="E178" i="10"/>
  <c r="D178" i="10"/>
  <c r="C178" i="10"/>
  <c r="B178" i="10"/>
  <c r="G177" i="10"/>
  <c r="F177" i="10"/>
  <c r="E177" i="10"/>
  <c r="D177" i="10"/>
  <c r="C177" i="10"/>
  <c r="B177" i="10"/>
  <c r="G176" i="10"/>
  <c r="F176" i="10"/>
  <c r="E176" i="10"/>
  <c r="D176" i="10"/>
  <c r="C176" i="10"/>
  <c r="B176" i="10"/>
  <c r="G175" i="10"/>
  <c r="F175" i="10"/>
  <c r="E175" i="10"/>
  <c r="D175" i="10"/>
  <c r="C175" i="10"/>
  <c r="B175" i="10"/>
  <c r="G174" i="10"/>
  <c r="F174" i="10"/>
  <c r="E174" i="10"/>
  <c r="D174" i="10"/>
  <c r="C174" i="10"/>
  <c r="B174" i="10"/>
  <c r="G173" i="10"/>
  <c r="F173" i="10"/>
  <c r="E173" i="10"/>
  <c r="D173" i="10"/>
  <c r="C173" i="10"/>
  <c r="B173" i="10"/>
  <c r="G172" i="10"/>
  <c r="F172" i="10"/>
  <c r="E172" i="10"/>
  <c r="D172" i="10"/>
  <c r="C172" i="10"/>
  <c r="B172" i="10"/>
  <c r="G171" i="10"/>
  <c r="F171" i="10"/>
  <c r="E171" i="10"/>
  <c r="D171" i="10"/>
  <c r="C171" i="10"/>
  <c r="B171" i="10"/>
  <c r="G170" i="10"/>
  <c r="F170" i="10"/>
  <c r="E170" i="10"/>
  <c r="D170" i="10"/>
  <c r="C170" i="10"/>
  <c r="B170" i="10"/>
  <c r="G169" i="10"/>
  <c r="F169" i="10"/>
  <c r="E169" i="10"/>
  <c r="D169" i="10"/>
  <c r="C169" i="10"/>
  <c r="B169" i="10"/>
  <c r="G165" i="10"/>
  <c r="F165" i="10"/>
  <c r="E165" i="10"/>
  <c r="D165" i="10"/>
  <c r="C165" i="10"/>
  <c r="B165" i="10"/>
  <c r="G164" i="10"/>
  <c r="F164" i="10"/>
  <c r="E164" i="10"/>
  <c r="D164" i="10"/>
  <c r="C164" i="10"/>
  <c r="B164" i="10"/>
  <c r="G163" i="10"/>
  <c r="F163" i="10"/>
  <c r="E163" i="10"/>
  <c r="D163" i="10"/>
  <c r="C163" i="10"/>
  <c r="B163" i="10"/>
  <c r="G162" i="10"/>
  <c r="F162" i="10"/>
  <c r="E162" i="10"/>
  <c r="D162" i="10"/>
  <c r="C162" i="10"/>
  <c r="B162" i="10"/>
  <c r="G161" i="10"/>
  <c r="F161" i="10"/>
  <c r="E161" i="10"/>
  <c r="D161" i="10"/>
  <c r="C161" i="10"/>
  <c r="B161" i="10"/>
  <c r="G160" i="10"/>
  <c r="F160" i="10"/>
  <c r="E160" i="10"/>
  <c r="D160" i="10"/>
  <c r="C160" i="10"/>
  <c r="B160" i="10"/>
  <c r="G159" i="10"/>
  <c r="F159" i="10"/>
  <c r="E159" i="10"/>
  <c r="D159" i="10"/>
  <c r="C159" i="10"/>
  <c r="B159" i="10"/>
  <c r="G158" i="10"/>
  <c r="F158" i="10"/>
  <c r="E158" i="10"/>
  <c r="D158" i="10"/>
  <c r="C158" i="10"/>
  <c r="B158" i="10"/>
  <c r="G157" i="10"/>
  <c r="F157" i="10"/>
  <c r="E157" i="10"/>
  <c r="D157" i="10"/>
  <c r="C157" i="10"/>
  <c r="B157" i="10"/>
  <c r="G156" i="10"/>
  <c r="F156" i="10"/>
  <c r="E156" i="10"/>
  <c r="D156" i="10"/>
  <c r="C156" i="10"/>
  <c r="B156" i="10"/>
  <c r="G152" i="10"/>
  <c r="F152" i="10"/>
  <c r="E152" i="10"/>
  <c r="D152" i="10"/>
  <c r="C152" i="10"/>
  <c r="B152" i="10"/>
  <c r="G151" i="10"/>
  <c r="F151" i="10"/>
  <c r="E151" i="10"/>
  <c r="D151" i="10"/>
  <c r="C151" i="10"/>
  <c r="B151" i="10"/>
  <c r="G150" i="10"/>
  <c r="F150" i="10"/>
  <c r="E150" i="10"/>
  <c r="D150" i="10"/>
  <c r="C150" i="10"/>
  <c r="B150" i="10"/>
  <c r="G149" i="10"/>
  <c r="F149" i="10"/>
  <c r="E149" i="10"/>
  <c r="D149" i="10"/>
  <c r="C149" i="10"/>
  <c r="B149" i="10"/>
  <c r="G148" i="10"/>
  <c r="F148" i="10"/>
  <c r="E148" i="10"/>
  <c r="D148" i="10"/>
  <c r="C148" i="10"/>
  <c r="B148" i="10"/>
  <c r="G147" i="10"/>
  <c r="F147" i="10"/>
  <c r="E147" i="10"/>
  <c r="D147" i="10"/>
  <c r="C147" i="10"/>
  <c r="B147" i="10"/>
  <c r="G146" i="10"/>
  <c r="F146" i="10"/>
  <c r="E146" i="10"/>
  <c r="D146" i="10"/>
  <c r="C146" i="10"/>
  <c r="B146" i="10"/>
  <c r="G142" i="10"/>
  <c r="F142" i="10"/>
  <c r="E142" i="10"/>
  <c r="D142" i="10"/>
  <c r="C142" i="10"/>
  <c r="B142" i="10"/>
  <c r="G141" i="10"/>
  <c r="F141" i="10"/>
  <c r="E141" i="10"/>
  <c r="D141" i="10"/>
  <c r="C141" i="10"/>
  <c r="B141" i="10"/>
  <c r="G140" i="10"/>
  <c r="F140" i="10"/>
  <c r="E140" i="10"/>
  <c r="D140" i="10"/>
  <c r="C140" i="10"/>
  <c r="B140" i="10"/>
  <c r="G139" i="10"/>
  <c r="F139" i="10"/>
  <c r="E139" i="10"/>
  <c r="D139" i="10"/>
  <c r="C139" i="10"/>
  <c r="B139" i="10"/>
  <c r="G138" i="10"/>
  <c r="F138" i="10"/>
  <c r="E138" i="10"/>
  <c r="D138" i="10"/>
  <c r="C138" i="10"/>
  <c r="B138" i="10"/>
  <c r="G137" i="10"/>
  <c r="F137" i="10"/>
  <c r="E137" i="10"/>
  <c r="D137" i="10"/>
  <c r="C137" i="10"/>
  <c r="B137" i="10"/>
  <c r="G136" i="10"/>
  <c r="F136" i="10"/>
  <c r="E136" i="10"/>
  <c r="D136" i="10"/>
  <c r="C136" i="10"/>
  <c r="B136" i="10"/>
  <c r="G135" i="10"/>
  <c r="F135" i="10"/>
  <c r="E135" i="10"/>
  <c r="D135" i="10"/>
  <c r="C135" i="10"/>
  <c r="B135" i="10"/>
  <c r="G134" i="10"/>
  <c r="F134" i="10"/>
  <c r="E134" i="10"/>
  <c r="D134" i="10"/>
  <c r="C134" i="10"/>
  <c r="B134" i="10"/>
  <c r="G130" i="10"/>
  <c r="F130" i="10"/>
  <c r="E130" i="10"/>
  <c r="D130" i="10"/>
  <c r="C130" i="10"/>
  <c r="B130" i="10"/>
  <c r="G129" i="10"/>
  <c r="F129" i="10"/>
  <c r="E129" i="10"/>
  <c r="D129" i="10"/>
  <c r="C129" i="10"/>
  <c r="B129" i="10"/>
  <c r="G128" i="10"/>
  <c r="F128" i="10"/>
  <c r="E128" i="10"/>
  <c r="D128" i="10"/>
  <c r="C128" i="10"/>
  <c r="B128" i="10"/>
  <c r="G127" i="10"/>
  <c r="F127" i="10"/>
  <c r="E127" i="10"/>
  <c r="D127" i="10"/>
  <c r="C127" i="10"/>
  <c r="B127" i="10"/>
  <c r="G126" i="10"/>
  <c r="F126" i="10"/>
  <c r="E126" i="10"/>
  <c r="D126" i="10"/>
  <c r="C126" i="10"/>
  <c r="B126" i="10"/>
  <c r="G125" i="10"/>
  <c r="F125" i="10"/>
  <c r="E125" i="10"/>
  <c r="D125" i="10"/>
  <c r="C125" i="10"/>
  <c r="B125" i="10"/>
  <c r="G123" i="10"/>
  <c r="F123" i="10"/>
  <c r="E123" i="10"/>
  <c r="D123" i="10"/>
  <c r="C123" i="10"/>
  <c r="B123" i="10"/>
  <c r="G122" i="10"/>
  <c r="F122" i="10"/>
  <c r="E122" i="10"/>
  <c r="D122" i="10"/>
  <c r="C122" i="10"/>
  <c r="B122" i="10"/>
  <c r="G121" i="10"/>
  <c r="F121" i="10"/>
  <c r="E121" i="10"/>
  <c r="D121" i="10"/>
  <c r="C121" i="10"/>
  <c r="B121" i="10"/>
  <c r="G117" i="10"/>
  <c r="F117" i="10"/>
  <c r="E117" i="10"/>
  <c r="D117" i="10"/>
  <c r="C117" i="10"/>
  <c r="B117" i="10"/>
  <c r="G116" i="10"/>
  <c r="F116" i="10"/>
  <c r="E116" i="10"/>
  <c r="D116" i="10"/>
  <c r="C116" i="10"/>
  <c r="B116" i="10"/>
  <c r="G115" i="10"/>
  <c r="F115" i="10"/>
  <c r="E115" i="10"/>
  <c r="D115" i="10"/>
  <c r="C115" i="10"/>
  <c r="B115" i="10"/>
  <c r="G114" i="10"/>
  <c r="F114" i="10"/>
  <c r="E114" i="10"/>
  <c r="D114" i="10"/>
  <c r="C114" i="10"/>
  <c r="B114" i="10"/>
  <c r="G113" i="10"/>
  <c r="F113" i="10"/>
  <c r="E113" i="10"/>
  <c r="D113" i="10"/>
  <c r="C113" i="10"/>
  <c r="B113" i="10"/>
  <c r="G112" i="10"/>
  <c r="F112" i="10"/>
  <c r="E112" i="10"/>
  <c r="D112" i="10"/>
  <c r="C112" i="10"/>
  <c r="B112" i="10"/>
  <c r="G111" i="10"/>
  <c r="F111" i="10"/>
  <c r="E111" i="10"/>
  <c r="D111" i="10"/>
  <c r="C111" i="10"/>
  <c r="B111" i="10"/>
  <c r="G110" i="10"/>
  <c r="F110" i="10"/>
  <c r="E110" i="10"/>
  <c r="D110" i="10"/>
  <c r="C110" i="10"/>
  <c r="B110" i="10"/>
  <c r="G109" i="10"/>
  <c r="F109" i="10"/>
  <c r="E109" i="10"/>
  <c r="D109" i="10"/>
  <c r="C109" i="10"/>
  <c r="B109" i="10"/>
  <c r="G108" i="10"/>
  <c r="F108" i="10"/>
  <c r="E108" i="10"/>
  <c r="D108" i="10"/>
  <c r="C108" i="10"/>
  <c r="B108" i="10"/>
  <c r="G104" i="10"/>
  <c r="F104" i="10"/>
  <c r="E104" i="10"/>
  <c r="D104" i="10"/>
  <c r="C104" i="10"/>
  <c r="B104" i="10"/>
  <c r="G103" i="10"/>
  <c r="F103" i="10"/>
  <c r="E103" i="10"/>
  <c r="D103" i="10"/>
  <c r="C103" i="10"/>
  <c r="B103" i="10"/>
  <c r="G102" i="10"/>
  <c r="F102" i="10"/>
  <c r="E102" i="10"/>
  <c r="D102" i="10"/>
  <c r="C102" i="10"/>
  <c r="B102" i="10"/>
  <c r="G101" i="10"/>
  <c r="F101" i="10"/>
  <c r="E101" i="10"/>
  <c r="D101" i="10"/>
  <c r="C101" i="10"/>
  <c r="B101" i="10"/>
  <c r="G100" i="10"/>
  <c r="F100" i="10"/>
  <c r="E100" i="10"/>
  <c r="D100" i="10"/>
  <c r="C100" i="10"/>
  <c r="B100" i="10"/>
  <c r="G99" i="10"/>
  <c r="F99" i="10"/>
  <c r="E99" i="10"/>
  <c r="D99" i="10"/>
  <c r="C99" i="10"/>
  <c r="B99" i="10"/>
  <c r="G98" i="10"/>
  <c r="F98" i="10"/>
  <c r="E98" i="10"/>
  <c r="D98" i="10"/>
  <c r="C98" i="10"/>
  <c r="B98" i="10"/>
  <c r="G97" i="10"/>
  <c r="F97" i="10"/>
  <c r="E97" i="10"/>
  <c r="D97" i="10"/>
  <c r="C97" i="10"/>
  <c r="B97" i="10"/>
  <c r="G96" i="10"/>
  <c r="F96" i="10"/>
  <c r="E96" i="10"/>
  <c r="D96" i="10"/>
  <c r="C96" i="10"/>
  <c r="B96" i="10"/>
  <c r="G95" i="10"/>
  <c r="F95" i="10"/>
  <c r="E95" i="10"/>
  <c r="D95" i="10"/>
  <c r="C95" i="10"/>
  <c r="B95" i="10"/>
  <c r="F89" i="10"/>
  <c r="E89" i="10"/>
  <c r="D89" i="10"/>
  <c r="C89" i="10"/>
  <c r="B89" i="10"/>
  <c r="F88" i="10"/>
  <c r="E88" i="10"/>
  <c r="D88" i="10"/>
  <c r="C88" i="10"/>
  <c r="B88" i="10"/>
  <c r="F87" i="10"/>
  <c r="E87" i="10"/>
  <c r="D87" i="10"/>
  <c r="C87" i="10"/>
  <c r="B87" i="10"/>
  <c r="F86" i="10"/>
  <c r="E86" i="10"/>
  <c r="D86" i="10"/>
  <c r="C86" i="10"/>
  <c r="B86" i="10"/>
  <c r="F85" i="10"/>
  <c r="E85" i="10"/>
  <c r="D85" i="10"/>
  <c r="C85" i="10"/>
  <c r="B85" i="10"/>
  <c r="F84" i="10"/>
  <c r="E84" i="10"/>
  <c r="D84" i="10"/>
  <c r="C84" i="10"/>
  <c r="B84" i="10"/>
  <c r="F83" i="10"/>
  <c r="E83" i="10"/>
  <c r="D83" i="10"/>
  <c r="C83" i="10"/>
  <c r="B83" i="10"/>
  <c r="F82" i="10"/>
  <c r="E82" i="10"/>
  <c r="D82" i="10"/>
  <c r="C82" i="10"/>
  <c r="B82" i="10"/>
  <c r="F78" i="10"/>
  <c r="E78" i="10"/>
  <c r="D78" i="10"/>
  <c r="C78" i="10"/>
  <c r="B78" i="10"/>
  <c r="F77" i="10"/>
  <c r="E77" i="10"/>
  <c r="D77" i="10"/>
  <c r="C77" i="10"/>
  <c r="B77" i="10"/>
  <c r="F76" i="10"/>
  <c r="E76" i="10"/>
  <c r="D76" i="10"/>
  <c r="C76" i="10"/>
  <c r="B76" i="10"/>
  <c r="F75" i="10"/>
  <c r="E75" i="10"/>
  <c r="D75" i="10"/>
  <c r="C75" i="10"/>
  <c r="B75" i="10"/>
  <c r="F74" i="10"/>
  <c r="E74" i="10"/>
  <c r="D74" i="10"/>
  <c r="C74" i="10"/>
  <c r="B74" i="10"/>
  <c r="F73" i="10"/>
  <c r="E73" i="10"/>
  <c r="D73" i="10"/>
  <c r="C73" i="10"/>
  <c r="B73" i="10"/>
  <c r="F72" i="10"/>
  <c r="E72" i="10"/>
  <c r="D72" i="10"/>
  <c r="C72" i="10"/>
  <c r="B72" i="10"/>
  <c r="F71" i="10"/>
  <c r="E71" i="10"/>
  <c r="D71" i="10"/>
  <c r="C71" i="10"/>
  <c r="B71" i="10"/>
  <c r="F67" i="10"/>
  <c r="E67" i="10"/>
  <c r="D67" i="10"/>
  <c r="C67" i="10"/>
  <c r="B67" i="10"/>
  <c r="F66" i="10"/>
  <c r="E66" i="10"/>
  <c r="D66" i="10"/>
  <c r="C66" i="10"/>
  <c r="B66" i="10"/>
  <c r="F65" i="10"/>
  <c r="E65" i="10"/>
  <c r="D65" i="10"/>
  <c r="C65" i="10"/>
  <c r="B65" i="10"/>
  <c r="F64" i="10"/>
  <c r="E64" i="10"/>
  <c r="D64" i="10"/>
  <c r="C64" i="10"/>
  <c r="B64" i="10"/>
  <c r="F63" i="10"/>
  <c r="E63" i="10"/>
  <c r="D63" i="10"/>
  <c r="C63" i="10"/>
  <c r="B63" i="10"/>
  <c r="F62" i="10"/>
  <c r="E62" i="10"/>
  <c r="D62" i="10"/>
  <c r="C62" i="10"/>
  <c r="B62" i="10"/>
  <c r="F61" i="10"/>
  <c r="E61" i="10"/>
  <c r="D61" i="10"/>
  <c r="C61" i="10"/>
  <c r="B61" i="10"/>
  <c r="F60" i="10"/>
  <c r="E60" i="10"/>
  <c r="D60" i="10"/>
  <c r="C60" i="10"/>
  <c r="B60" i="10"/>
  <c r="F56" i="10"/>
  <c r="E56" i="10"/>
  <c r="D56" i="10"/>
  <c r="C56" i="10"/>
  <c r="B56" i="10"/>
  <c r="F55" i="10"/>
  <c r="E55" i="10"/>
  <c r="D55" i="10"/>
  <c r="C55" i="10"/>
  <c r="B55" i="10"/>
  <c r="F54" i="10"/>
  <c r="E54" i="10"/>
  <c r="D54" i="10"/>
  <c r="C54" i="10"/>
  <c r="B54" i="10"/>
  <c r="F53" i="10"/>
  <c r="E53" i="10"/>
  <c r="D53" i="10"/>
  <c r="C53" i="10"/>
  <c r="B53" i="10"/>
  <c r="F52" i="10"/>
  <c r="E52" i="10"/>
  <c r="D52" i="10"/>
  <c r="C52" i="10"/>
  <c r="B52" i="10"/>
  <c r="F51" i="10"/>
  <c r="E51" i="10"/>
  <c r="D51" i="10"/>
  <c r="C51" i="10"/>
  <c r="B51" i="10"/>
  <c r="F50" i="10"/>
  <c r="E50" i="10"/>
  <c r="D50" i="10"/>
  <c r="C50" i="10"/>
  <c r="B50" i="10"/>
  <c r="F49" i="10"/>
  <c r="E49" i="10"/>
  <c r="D49" i="10"/>
  <c r="C49" i="10"/>
  <c r="B49" i="10"/>
  <c r="F45" i="10"/>
  <c r="E45" i="10"/>
  <c r="D45" i="10"/>
  <c r="C45" i="10"/>
  <c r="B45" i="10"/>
  <c r="F44" i="10"/>
  <c r="E44" i="10"/>
  <c r="D44" i="10"/>
  <c r="C44" i="10"/>
  <c r="B44" i="10"/>
  <c r="F43" i="10"/>
  <c r="E43" i="10"/>
  <c r="D43" i="10"/>
  <c r="C43" i="10"/>
  <c r="B43" i="10"/>
  <c r="F42" i="10"/>
  <c r="E42" i="10"/>
  <c r="D42" i="10"/>
  <c r="C42" i="10"/>
  <c r="B42" i="10"/>
  <c r="F41" i="10"/>
  <c r="E41" i="10"/>
  <c r="D41" i="10"/>
  <c r="C41" i="10"/>
  <c r="B41" i="10"/>
  <c r="F40" i="10"/>
  <c r="E40" i="10"/>
  <c r="D40" i="10"/>
  <c r="C40" i="10"/>
  <c r="B40" i="10"/>
  <c r="F36" i="10"/>
  <c r="E36" i="10"/>
  <c r="D36" i="10"/>
  <c r="C36" i="10"/>
  <c r="B36" i="10"/>
  <c r="F35" i="10"/>
  <c r="E35" i="10"/>
  <c r="D35" i="10"/>
  <c r="C35" i="10"/>
  <c r="B35" i="10"/>
  <c r="F34" i="10"/>
  <c r="E34" i="10"/>
  <c r="D34" i="10"/>
  <c r="C34" i="10"/>
  <c r="B34" i="10"/>
  <c r="F33" i="10"/>
  <c r="F32" i="10"/>
  <c r="E32" i="10"/>
  <c r="D32" i="10"/>
  <c r="C32" i="10"/>
  <c r="B32" i="10"/>
  <c r="F31" i="10"/>
  <c r="E31" i="10"/>
  <c r="D31" i="10"/>
  <c r="C31" i="10"/>
  <c r="B31" i="10"/>
  <c r="F30" i="10"/>
  <c r="E30" i="10"/>
  <c r="D30" i="10"/>
  <c r="C30" i="10"/>
  <c r="B30" i="10"/>
  <c r="F29" i="10"/>
  <c r="E29" i="10"/>
  <c r="D29" i="10"/>
  <c r="C29" i="10"/>
  <c r="B29" i="10"/>
  <c r="F25" i="10"/>
  <c r="E25" i="10"/>
  <c r="D25" i="10"/>
  <c r="C25" i="10"/>
  <c r="B25" i="10"/>
  <c r="F24" i="10"/>
  <c r="E24" i="10"/>
  <c r="D24" i="10"/>
  <c r="C24" i="10"/>
  <c r="B24" i="10"/>
  <c r="F23" i="10"/>
  <c r="E23" i="10"/>
  <c r="D23" i="10"/>
  <c r="C23" i="10"/>
  <c r="B23" i="10"/>
  <c r="F22" i="10"/>
  <c r="E22" i="10"/>
  <c r="D22" i="10"/>
  <c r="C22" i="10"/>
  <c r="B22" i="10"/>
  <c r="F21" i="10"/>
  <c r="E21" i="10"/>
  <c r="D21" i="10"/>
  <c r="C21" i="10"/>
  <c r="B21" i="10"/>
  <c r="F20" i="10"/>
  <c r="E20" i="10"/>
  <c r="D20" i="10"/>
  <c r="C20" i="10"/>
  <c r="B20" i="10"/>
  <c r="F19" i="10"/>
  <c r="E19" i="10"/>
  <c r="D19" i="10"/>
  <c r="C19" i="10"/>
  <c r="B19" i="10"/>
  <c r="F18" i="10"/>
  <c r="E18" i="10"/>
  <c r="D18" i="10"/>
  <c r="C18" i="10"/>
  <c r="B18" i="10"/>
  <c r="F14" i="10"/>
  <c r="E14" i="10"/>
  <c r="D14" i="10"/>
  <c r="C14" i="10"/>
  <c r="B14" i="10"/>
  <c r="F13" i="10"/>
  <c r="E13" i="10"/>
  <c r="D13" i="10"/>
  <c r="C13" i="10"/>
  <c r="B13" i="10"/>
  <c r="F12" i="10"/>
  <c r="E12" i="10"/>
  <c r="D12" i="10"/>
  <c r="C12" i="10"/>
  <c r="B12" i="10"/>
  <c r="F11" i="10"/>
  <c r="E11" i="10"/>
  <c r="D11" i="10"/>
  <c r="C11" i="10"/>
  <c r="B11" i="10"/>
  <c r="F10" i="10"/>
  <c r="E10" i="10"/>
  <c r="D10" i="10"/>
  <c r="C10" i="10"/>
  <c r="B10" i="10"/>
  <c r="F9" i="10"/>
  <c r="E9" i="10"/>
  <c r="D9" i="10"/>
  <c r="C9" i="10"/>
  <c r="B9" i="10"/>
  <c r="F8" i="10"/>
  <c r="E8" i="10"/>
  <c r="D8" i="10"/>
  <c r="C8" i="10"/>
  <c r="B8" i="10"/>
  <c r="F7" i="10"/>
  <c r="E7" i="10"/>
  <c r="D7" i="10"/>
  <c r="C7" i="10"/>
  <c r="B7" i="10"/>
  <c r="Z211" i="11" l="1"/>
  <c r="BS167" i="11"/>
  <c r="BR167" i="11"/>
  <c r="BP211" i="11"/>
  <c r="U270" i="11"/>
  <c r="V270" i="11" s="1"/>
  <c r="BS219" i="11"/>
  <c r="BP219" i="11"/>
  <c r="BR219" i="11"/>
  <c r="BP142" i="11"/>
  <c r="Z142" i="11"/>
  <c r="BR90" i="11"/>
  <c r="Z2" i="11"/>
  <c r="AD142" i="11"/>
  <c r="BS211" i="11"/>
  <c r="Z219" i="11"/>
  <c r="BR142" i="11"/>
  <c r="X270" i="11"/>
  <c r="BP167" i="11"/>
  <c r="AC142" i="11"/>
  <c r="BS142"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Romain Cyrille ZILLE</author>
  </authors>
  <commentList>
    <comment ref="X93" authorId="0" shapeId="0" xr:uid="{3B73EBFD-6613-4D0F-9885-7D69E059DE97}">
      <text>
        <r>
          <rPr>
            <sz val="11"/>
            <color theme="1"/>
            <rFont val="Calibri"/>
            <family val="2"/>
            <scheme val="minor"/>
          </rPr>
          <t xml:space="preserve">Romain Cyrille ZILLE:
PEC de participants LHSPLA </t>
        </r>
      </text>
    </comment>
  </commentList>
</comments>
</file>

<file path=xl/sharedStrings.xml><?xml version="1.0" encoding="utf-8"?>
<sst xmlns="http://schemas.openxmlformats.org/spreadsheetml/2006/main" count="6593" uniqueCount="2096">
  <si>
    <t>AIDE MEMOIRE —  BULLETIN HEBDOMADAIRE LHSPLA-TA</t>
  </si>
  <si>
    <t>OBJECTIF</t>
  </si>
  <si>
    <t>Alimenter chaque semaine le Bulletin d'Information transmis au Directeur des Opérations (DoS). Il récapitule les activités réalisées la semaine précédente et les activités planifiées sur un mois glissant.</t>
  </si>
  <si>
    <t>FRÉQUENCE</t>
  </si>
  <si>
    <t>Hebdomadaire. Chaque entité soumet son onglet chaque LUNDI matin avant 9h00</t>
  </si>
  <si>
    <t>STRUCTURE</t>
  </si>
  <si>
    <t>Ce classeur contient 10 onglets : MODE D'EMPLOI + 8 onglets entité (CAD, PMO, QAD, SE, SI, FINANCES, ABIDJAN, BOUAKE) + 1 onglet COMPILATION.</t>
  </si>
  <si>
    <t>COMMENT REMPLIR</t>
  </si>
  <si>
    <t>1. Ouvrir VOTRE onglet (ex : SE pour le service SE).
2. Section A : saisir le Responsable, la Semaine de référence (ex : Du 07/04 au 11/04/2025) et la date de soumission.
3. Section B : décrire chaque activité RÉALISÉE (max 8 lignes — ajouter des lignes si besoin).
4. Section C : planifier les activités PRÉVUES sur les 4 prochaines semaines (max 10 lignes).
5. Section D : signaler tout RISQUE ou point nécessitant une décision / arbitrage (max 5 lignes).</t>
  </si>
  <si>
    <t>PARTICIPATION DoS</t>
  </si>
  <si>
    <t>Dans la colonne « Participation DoS ? » (Section C), sélectionner ✅ OUI ou ❌ NON dans le menu déroulant. Toute activité impliquant le DoS doit être signalée AU MOINS 2 SEMAINES avant son démarrage.</t>
  </si>
  <si>
    <t>CRITICITÉ (Section D)</t>
  </si>
  <si>
    <t>Utiliser le menu déroulant pour choisir le niveau :
🔴 Critique — Décision urgente requise
🟠 Élevé    — Attention forte nécessaire
🟡 Modéré   — À surveiller
🟢 Faible   — Pour information</t>
  </si>
  <si>
    <t>COMPILATION AUTO</t>
  </si>
  <si>
    <t>L'onglet COMPILATION agrège automatiquement les données de tous les onglets entité via des formules. NE PAS modifier directement les cellules de la compilation — elles se mettent à jour automatiquement.</t>
  </si>
  <si>
    <t>ENVOI</t>
  </si>
  <si>
    <t>Envoyer le fichier EXCEL complété chaque lundi matin à Charles Oscar LEBRI (c.lebri@npsp.ci). L'objet du mail : [BULLETIN LHSPLA] Semaine du JJ/MM au JJ/MM/YYYY — [Votre entité]</t>
  </si>
  <si>
    <t>RÈGLES IMPORTANTES</t>
  </si>
  <si>
    <r>
      <t xml:space="preserve">• Ne modifier NI supprimer les formules dans l'onglet COMPILATION.
• Les cellules en jaune </t>
    </r>
    <r>
      <rPr>
        <sz val="10"/>
        <color rgb="FFFFC000"/>
        <rFont val="Calibri"/>
        <family val="2"/>
      </rPr>
      <t>🟡</t>
    </r>
    <r>
      <rPr>
        <sz val="10"/>
        <color rgb="FF000000"/>
        <rFont val="Calibri"/>
        <family val="2"/>
      </rPr>
      <t xml:space="preserve"> sont les SEULES à renseigner.
• Respecter le délai : soumission avant LUNDI 9h00.
• En cas de doute, contacter Charles Oscar LEBRI.</t>
    </r>
  </si>
  <si>
    <t>BULLETIN HEBDOMADAIRE LHSPLA-TA  —  CANEVAS DE REPORTING ENTITÉ</t>
  </si>
  <si>
    <t>Entité : CAD – Chaîne d'Approvisionnement Décentralisée</t>
  </si>
  <si>
    <t xml:space="preserve">  A.  INFORMATIONS DE SOUMISSION</t>
  </si>
  <si>
    <t>Entité</t>
  </si>
  <si>
    <t>Responsable (Nom &amp; Prénom)</t>
  </si>
  <si>
    <t>Semaine de référence</t>
  </si>
  <si>
    <t>Date de soumission</t>
  </si>
  <si>
    <t>CAD</t>
  </si>
  <si>
    <t xml:space="preserve">  B.  ACTIVITÉS RÉALISÉES  —  Semaine précédente</t>
  </si>
  <si>
    <t>ℹ️  Pour chaque activité réalisée au cours de la semaine écoulée, compléter une ligne.</t>
  </si>
  <si>
    <t>N°</t>
  </si>
  <si>
    <t>N° Activités</t>
  </si>
  <si>
    <t>Libellé de la tâche</t>
  </si>
  <si>
    <t>Objectifs</t>
  </si>
  <si>
    <t>Lieu</t>
  </si>
  <si>
    <t>Date(s)</t>
  </si>
  <si>
    <t>Principales recommandations / Résultats clés</t>
  </si>
  <si>
    <t>1.3-2</t>
  </si>
  <si>
    <t>1.3-2.4 : Organiser des rencontres d'orientation logistique au niveau départemental</t>
  </si>
  <si>
    <t>· Présenter et analyser les résultats des activités logistiques au niveau des ESPC : rapportage et qualité des données rapportées ; disponibilités des stocks de produits traceurs et Système d’Alerte Précoce ; Gestion des stocks et utilisation de mSupply ; données de la File Active.
· Identifier les problèmes à la mise en œuvre des activités au niveau des ESPC
· Renforcer les capacités des gestionnaires de pharmacie des ESPC
· Formuler des recommandations</t>
  </si>
  <si>
    <t>DS APA (26/05/2026)</t>
  </si>
  <si>
    <t>Nombre d'acteurs des ESPC présents :  14 acteurs; Les acteurs présents ont été sensibilités sur l'importance du respect du délai de dépôt des RM, coachés sur la qualité des données rapportées en passant en revue les erreurs courantes de rapportage (report mensuel des données; mauvaise unité de rapportage; items insuffisamment renseignés; erreurs de calculs; les incohérences régimes et indicateurs), au SAP et sa mise en oeuvre. Aussi, les acteurs ont été orientés sur la gestion des produits iCCM. Quelques recommandations : Organiser les services en responsabilisant les acteurs; Elaborer et transmettre dans les délais les RM; Valider en interne les données avant transmission des rapports au DS; Utiliser correctement toutes les fonctionnalités de mSupply; Estimer correctement les quantités à allouer en tenant compte des consommations réelles et des nombres de jours de rupture notifiés; Mettre en oeuvre le SAP pour anticiper tous risques de rupture et de péremptione</t>
  </si>
  <si>
    <t>1.3-2.2 : Organiser des visites d'assistance technique aux acteurs de la chaîne d'approvisionnement décentralisée</t>
  </si>
  <si>
    <t>Améliorer la qualité du rapportage, la qualité des prestations et de la gestion des produits et intrants des PNS</t>
  </si>
  <si>
    <t xml:space="preserve"> </t>
  </si>
  <si>
    <t>Du 25 au 29/05/2026</t>
  </si>
  <si>
    <t xml:space="preserve"> Pas de visite réalisée cette semaine</t>
  </si>
  <si>
    <t>1.3-2.3 : Apporter un appui technique et financier aux réunions régionales d'analyse et de mise à niveau des stocks</t>
  </si>
  <si>
    <t>Accompagner les gestionnaires des sites clients directs dans l'exécution effective des plans de redéploiements des stocks issus des réunions d'analyse</t>
  </si>
  <si>
    <t>Suivi de l'execution des plans de redeploiement élaborés et en cours de réalisation</t>
  </si>
  <si>
    <t>1 plan de redéploiement a été élaboré et en cours de réalisation avec l'appui logistique de LHSPLA. Pour les réunions réalisées la semaine du 11 au 15/05/202, le point de suivi de la réalisation des 4 plans de redéploiement est le suivant :  Région Moronou (100%); Région Lôh Djiboua (80%); Région Gôh (80%) et Agnéby-Tiassa (80%)</t>
  </si>
  <si>
    <t>1.3-1</t>
  </si>
  <si>
    <t>1.3-1.1 : Faire la mise à jour mensuelle des contacts téléphoniques des prestataires à insérer dans la flotte</t>
  </si>
  <si>
    <t>Faciliter les échanges d'informations logistiques des produits de santé du niveau central au niveau communautaire</t>
  </si>
  <si>
    <t>1.2-1</t>
  </si>
  <si>
    <t>1.2-1.1 : Faire le suivi la complétude et la promptitude des rapports des sites non clients directs (mSupply, …)</t>
  </si>
  <si>
    <t>améliorer la disponibilité  des produits traceurs au niveau des sites derservis par les districts</t>
  </si>
  <si>
    <t>Régions sanitaires livrées par l'Agence Régionale de Bouaké</t>
  </si>
  <si>
    <t>Du 25/05/2026 au  31/05/2026</t>
  </si>
  <si>
    <t xml:space="preserve">Relance sous forme de rappels dans les groupes watsapp de districts pour les differentes tâches à effectuer avec mSupply; </t>
  </si>
  <si>
    <t>améliorer la disponibilité  des produits traceurs des programmes de sante au niveau de chaque région</t>
  </si>
  <si>
    <t>Bélier, Marahoué,Hambol, Haut-Sassandra, Guémon, et Worodougou</t>
  </si>
  <si>
    <t>Du 25/05/2026 au  29/05/2026</t>
  </si>
  <si>
    <t>suivi de l'excécution des plans de rédeploiement issus des réunions d'analyse des stocks; le taux est de 100% pour le Worodougou, Bélier et Haut-Sassandra</t>
  </si>
  <si>
    <t>1.8-2</t>
  </si>
  <si>
    <t>1.8-2.1 : Organiser des sessions de formation des acteurs de la chaîne d'approvisionnement</t>
  </si>
  <si>
    <t>Renforcer less capacité techniques des gestionnaires (APGP, IDE et SFDE) des produits de santé des sites péripheriques</t>
  </si>
  <si>
    <t>Yamoussoukro</t>
  </si>
  <si>
    <t>27/05/2026 au 31/05/2026</t>
  </si>
  <si>
    <t>Formation de 15 acteurs des ESPC et districts surl'optimisation de la gestion des stocks des produits de santé; entreposage et stockage; prise en main de mSupply; Système d'Alerte Précoce et Assistance Technique. La progression des apprenants etait significative à l'issu des pré et Post-Test</t>
  </si>
  <si>
    <t>↳  Ajouter autant de lignes que nécessaire avant soumission.</t>
  </si>
  <si>
    <t xml:space="preserve">  C.  ACTIVITÉS PLANIFIÉES  —  Mois glissant (4 semaines à venir)</t>
  </si>
  <si>
    <t>ℹ️  Lister toutes les activités prévues sur les 4 prochaines semaines. Signaler en ROUGE les activités nécessitant la participation du DoS.</t>
  </si>
  <si>
    <t>Date(s) prévues</t>
  </si>
  <si>
    <t>Participation DoS ?</t>
  </si>
  <si>
    <t>Observations / Points d'attention</t>
  </si>
  <si>
    <t xml:space="preserve">-	Faire le point des recommandations ( suivi du taux de redéploiement, etc.) de la dernière réunion 
-	Faciliter la prise en main du “Weekly Report” pour l’analyse des niveaux de stocks au niveau régional et la prise de décision.
-	Effectuer les analyses avec les données disponibles pour une prise de décision
-	Discuter des autres activités et identifier les problèmes à la gestion de la chaîne d’approvisionnement
-	Proposer un plan d’amélioration ( plans de redéploiements)
-	Formuler des recommandations
</t>
  </si>
  <si>
    <t>Régions sanitaires Gbôklê; N'zi et Grands Ponts</t>
  </si>
  <si>
    <t>Du 08 au 12/06/2026</t>
  </si>
  <si>
    <t>❌ NON</t>
  </si>
  <si>
    <t>Activité reprogrammée : 
DS Gbôklê (12/06/2026); 
DS N'zi (date pas encore communiquée); 
GRANDS PONTS  (date pas encore communiquée)</t>
  </si>
  <si>
    <t>Améliorer la qualité du rapportage, la qualité des prestations et de la gestion des produits et intrants des PNS et la disponibilité des produits traceurs des PNS</t>
  </si>
  <si>
    <t>Région Abidjan 2</t>
  </si>
  <si>
    <t>Du 01 au 05/06/2026</t>
  </si>
  <si>
    <t>Ces visites de sites de la région Abidjan 2, seront mis à profit pour redéployer les stocks issus du plan de la réunion d'analyse et de mise à niveau des stocks. Afin d'assurer la disponibilité des produits de santé des PNS</t>
  </si>
  <si>
    <t>DS DIVO; DS DABOU; DS DOROPO et DS Alépé</t>
  </si>
  <si>
    <t>01 au 12/06/2026</t>
  </si>
  <si>
    <t>DS DIVO (date pas encore communiquée); 
DS DABOU (date pas encore communiquée)
 DS DOROPO (date pas encore communiquée) et DS Alépé (prévue le 29/05/2026; reprogrammée à une date ultérieure pour conflit de calendrier)</t>
  </si>
  <si>
    <t>· Présenter et analyser les résultats des activités logistiques au niveau des ESPC des trois derniers mois (Mars,Avril et MAI): rapportage et qualité des données rapportées ; disponibilités des stocks de produits traceurs et Système d’Alerte Précoce ; Gestion des stocks et utilisation de mSupply ; données de la File Active.
· Identifier les problèmes à la mise en œuvre des activités au niveau des ESPC
· Renforcer les capacités des gestionnaires de pharmacie des ESPC
· Formuler des recommandations</t>
  </si>
  <si>
    <t>Korhogo 2, Dikodougou, Niakara, Katiola, Botro, Béoumi, Bouaké nord ouest, Mankono, Yamousoukro, Toumodi, Odiénné, Madinani, Zouan-Hounien, Bloléquin, Zoukougbeu, Vavoua, Issia ,Bouaflé, Kani et Kounahiri</t>
  </si>
  <si>
    <t>08/06/2026 au 19/06/2026</t>
  </si>
  <si>
    <t>réception des TDR de 08 sites ; préparation avec les Pharmaciens de Districts pour le bon deroulement de ses rencontres</t>
  </si>
  <si>
    <t xml:space="preserve">effectuer des visites de sites à faibles resultats, travailler avec le site sur:rapportage et qualité des données rapportées ; disponibilités des stocks de produits traceurs et Système d’Alerte Précoce ; Gestion des stocks et utilisation de mSupply ; données de la File Active.
</t>
  </si>
  <si>
    <t>sites à identifier par PRES dans la zone couverte par CAD BOUAKE</t>
  </si>
  <si>
    <t>du 15/06/26 au 25/06/26</t>
  </si>
  <si>
    <t>identification de sites selon des points précis de mauvaises performance</t>
  </si>
  <si>
    <t>Assister les sites au rapportage ,dans les délais, des sites clients directs NPSP</t>
  </si>
  <si>
    <t>sites CAD Bouaké</t>
  </si>
  <si>
    <t>du 11/05/26 au 31/05/26</t>
  </si>
  <si>
    <t>Disponibilité à 100% des données logistiques pour la prise de décision</t>
  </si>
  <si>
    <t>1.3-1.2 : Fournir des forfaits de communication et de connexion internet aux structures du niveau central jusqu'au niveau communautaire.</t>
  </si>
  <si>
    <t>maintenir les sites clients directs NPSP dans la flotte pour faciliter la communication</t>
  </si>
  <si>
    <t>CAD Bouaké</t>
  </si>
  <si>
    <t>en continue</t>
  </si>
  <si>
    <t>Maintien de tous les numéros des sites dans la flotte compte tenu du turn over des gestionnaires</t>
  </si>
  <si>
    <t>1.4-1.3 : Apporter un appui technique et financier au district sanitaire pour le suivi de la distribution communautaire</t>
  </si>
  <si>
    <t>Renforcer la disponibilité des CTA et autres ILP en vue d’une meilleure performance de l’ICCM au niveau communautaire</t>
  </si>
  <si>
    <t>CAD Abidjan</t>
  </si>
  <si>
    <t>Du 11/05/2026 au 31/05/2026</t>
  </si>
  <si>
    <t>Appui technique à l'élaboration des TDR et à la programmation des visites des DS</t>
  </si>
  <si>
    <t>01/06/26 au 06/06/26</t>
  </si>
  <si>
    <t>Formation de 30 acteurs (APGP,IDE, SFDE) attendus; des Tests prévus; briefing des formateurs afin de prendre en compte les leçons apprises de la formation du groupe precédant</t>
  </si>
  <si>
    <t>améliorer le rapportage des sites périphériques</t>
  </si>
  <si>
    <t>Du 18 au 31/05/2026</t>
  </si>
  <si>
    <t>sensibiliser les gestionnaires sur la gestion des produits périmés afin d'eviter de les rapportés comme produits disponibles et utilisables</t>
  </si>
  <si>
    <t>1.3-2.7 : Organiser une orientation des pharmaciens de régions sur le management de la CA</t>
  </si>
  <si>
    <t>Renforcer les compétence en management et en leadership des PR pour assurer la gouvernance efficace et une redevabilité accrue de la chaine d'approvisionnement pharmaceutique décentralisée</t>
  </si>
  <si>
    <t>YAMOUSOUKRO</t>
  </si>
  <si>
    <t>08 au 12/06/2026</t>
  </si>
  <si>
    <t>Elaboration des plan de contingence des 10 régions participants afin d'améliorer la disponibilité des produits de santé dans leurs points de prestations de service.                                Partage d'expériences et de bonnes pratiques de gestion de chaine d'approvisionnement</t>
  </si>
  <si>
    <t>↳  Toute activité impliquant le DoS doit être transmise au moins 2 semaines avant son démarrage.</t>
  </si>
  <si>
    <t xml:space="preserve">  D.  POINTS DE VIGILANCE  /  RISQUES  /  BESOINS DE DÉCISION</t>
  </si>
  <si>
    <t>ℹ️  Signaler tout élément nécessitant une attention particulière, une décision ou un arbitrage.</t>
  </si>
  <si>
    <t>Thème</t>
  </si>
  <si>
    <t>Catégorie</t>
  </si>
  <si>
    <t>Description du point</t>
  </si>
  <si>
    <t>Niveau de criticité</t>
  </si>
  <si>
    <t>Action attendue / Décision souhaitée</t>
  </si>
  <si>
    <t>Entité : CAC - Chaine d'Approvisionnement Communautaire</t>
  </si>
  <si>
    <t>CAC</t>
  </si>
  <si>
    <t>1.4-1</t>
  </si>
  <si>
    <t>1.4-1.4 : Faire le suivi de la disponibilité des produits de santé communautaires</t>
  </si>
  <si>
    <t>Mission de suivi des recommandations EUV et de coaching des CAC et ASS dans les districts Tiassalé, 2 ESPC 5DR Ahoara et CSU Morokro) caoching au remplissage du registre ASC et au Weekly Report Communautaire. Diffusion du Weekly aux ASS et CAC.</t>
  </si>
  <si>
    <t>DS TIASSALE</t>
  </si>
  <si>
    <t>Du 28 au 29 Mai 2026</t>
  </si>
  <si>
    <t>Continuer le coaching au rapportage et au remplissage correcte du rapport ASC dans e-SIGL</t>
  </si>
  <si>
    <t>2.2-3</t>
  </si>
  <si>
    <t>2.2-3.1 : Organiser 3 inventaires des produits traceurs des programmes suivis</t>
  </si>
  <si>
    <t>Réalisation de l'inventaire tournant à l'agence programme du 30 au 31 Mai 2026</t>
  </si>
  <si>
    <t>Agence programme</t>
  </si>
  <si>
    <t>du 16 au 20 Mai 2026</t>
  </si>
  <si>
    <t>Inventaire physique réalisé, finalisation de la justification des écarts et de la redaction du rapport en cours</t>
  </si>
  <si>
    <t>Entité : PMO – Gestion de Projet (Project Management Office)</t>
  </si>
  <si>
    <t>PMO</t>
  </si>
  <si>
    <t>PILLAH AUDREY</t>
  </si>
  <si>
    <t>1.11-3</t>
  </si>
  <si>
    <t>1.11-3.2 : Organiser des réunions mensuelles du bilan de la performance du projet</t>
  </si>
  <si>
    <t>Faire le reporting détaillé des activités du projet sur le mois précédent par acteur</t>
  </si>
  <si>
    <t>Abidjan Nouvelle PSP-CI</t>
  </si>
  <si>
    <t>*Réunion mois de juin 2026
*Causes de la non-réalisation des activités
*Résolution des insatisfactions</t>
  </si>
  <si>
    <t>1.11-4</t>
  </si>
  <si>
    <t>1.11-4.1 : Faire la maintenance annuelle ORCHESTRA</t>
  </si>
  <si>
    <t>Maintenance annuelle et assistance pour le logiciel de suivi du projet LHSPLA</t>
  </si>
  <si>
    <t>*Aucune suite pour le paiement de la maintenance
*Risque de bugs lors d'utilisation de Orchestra</t>
  </si>
  <si>
    <t>1.8-3</t>
  </si>
  <si>
    <t>1.8-3.1 : Appuyer les gestionnaires des structures sanitaires publiques dans le cadre de leurs activités</t>
  </si>
  <si>
    <t>Amélioration des compétences du pool de formateurs pour des formations et des coachings de qualité fait à l'endroit des gestionnaires des structures sanitaires publiques</t>
  </si>
  <si>
    <t>Date à définir</t>
  </si>
  <si>
    <t>Apprentissage de l'andragogie. en deux phases : phase pratique et phase théorique</t>
  </si>
  <si>
    <t>1.11-3.1 : Compiler mensuellement les rapports de progression dans le logiciel ORCHESTRA</t>
  </si>
  <si>
    <t>Orchestra est à jour</t>
  </si>
  <si>
    <t>du 04 au 05/06/2026</t>
  </si>
  <si>
    <t>Extraction des niveaux d'avancement par entité et transmission des extractions à chaque entité</t>
  </si>
  <si>
    <t>Gestion de Projet</t>
  </si>
  <si>
    <t>Restructuration du prestataire du logiciel ORCHESTRA demandant une revision du contrat.
Aucune avancée sur le contrat, ce qui retarde la mise en oeuvre du paiement dans le cadre de la maintenance.</t>
  </si>
  <si>
    <t>🟠 Élevé</t>
  </si>
  <si>
    <t>Approche du Département Juridique pour une accélération du traitement de ce dossier.</t>
  </si>
  <si>
    <t>Entité : QAD – Quantifiction Achat et Distribution</t>
  </si>
  <si>
    <t>QAD</t>
  </si>
  <si>
    <t>ZILLE CYRILLE</t>
  </si>
  <si>
    <t>1.10-1</t>
  </si>
  <si>
    <t>1.10-1.1 : Participer aux réunions de suivi mensuel de stock des PNS</t>
  </si>
  <si>
    <t>* Suivi mensuel des stocks et des PA pour une disponibilité adéquate des produits à tous les niveaux de la chaine d'approvisionnement pour réduire les risques de rupture et de péremption</t>
  </si>
  <si>
    <t>En ligne</t>
  </si>
  <si>
    <r>
      <rPr>
        <sz val="10"/>
        <color rgb="FF000000"/>
        <rFont val="Calibri"/>
      </rPr>
      <t>*</t>
    </r>
    <r>
      <rPr>
        <b/>
        <sz val="10"/>
        <color rgb="FF000000"/>
        <rFont val="Calibri"/>
      </rPr>
      <t xml:space="preserve">Principales recommandations pour la NPSP*
</t>
    </r>
    <r>
      <rPr>
        <sz val="10"/>
        <color rgb="FF000000"/>
        <rFont val="Calibri"/>
      </rPr>
      <t xml:space="preserve"> Fournir la date probable de livraison du reliquat des produits de prémière ligne sous BGE
 Actualiser le eSigl et le fichier suivi de stock en y rétirant l'amikacine inj
 Retarder la prochaine commande de Bedaquiline 20mg du
 fait du surstock observé au niveau central comme péripherique sur ce produit (  fin septembre au lieu de fin juin 2026)</t>
    </r>
  </si>
  <si>
    <t>3.2-1</t>
  </si>
  <si>
    <t>3.2-1.2 : Mettre à disposition des transitaires la documentation requise pour organiser l'acheminement</t>
  </si>
  <si>
    <t>* Disponibilité rapide des produits dans les entrepôts NPSP</t>
  </si>
  <si>
    <t>ABIDJAN</t>
  </si>
  <si>
    <r>
      <rPr>
        <b/>
        <sz val="10"/>
        <color rgb="FF000000"/>
        <rFont val="Calibri"/>
      </rPr>
      <t xml:space="preserve">* Résultats clés*
</t>
    </r>
    <r>
      <rPr>
        <sz val="10"/>
        <color rgb="FF000000"/>
        <rFont val="Calibri"/>
      </rPr>
      <t>Transmission des observations (date d'effet) sur le document projet d'exonération sur les acquisitions planifiées sur budget du Gouvernement Américain</t>
    </r>
  </si>
  <si>
    <t>2.6-5</t>
  </si>
  <si>
    <t>2.6-5.9 : Organiser quatre sessions d'orientation des Acteurs de la gestion logistique</t>
  </si>
  <si>
    <t>Renforcer les capacités des gestionnaires et techniciens de laboratoire en gestion logistique des produits de la charge virale</t>
  </si>
  <si>
    <t>Renforcement des capacités de 18 personnes (pharmacie et laboratoire) sur la gestion des produits de mPima et des consommables généraux relatifs aux produits de laboratoire.</t>
  </si>
  <si>
    <t>2.2-1</t>
  </si>
  <si>
    <t>2.2-1.4 : Mettre en place un fichier de suivi intégré de la reception des produits à la levée de quarantaine de ces produits</t>
  </si>
  <si>
    <t>Respect des délais objectivés</t>
  </si>
  <si>
    <t>Abidjan</t>
  </si>
  <si>
    <t>25 au 29 mai</t>
  </si>
  <si>
    <t>Finaliser la correspondance entre les désignation/code QAT et Sage X3 pour transmission interne</t>
  </si>
  <si>
    <t>Améliorer la précision et la justesse des stocks</t>
  </si>
  <si>
    <t>30 mai au 03 juin</t>
  </si>
  <si>
    <t xml:space="preserve">Améliorer la communication interne concernant l'inventaire tournant. </t>
  </si>
  <si>
    <t>2.2-2</t>
  </si>
  <si>
    <t>2.2-2.2 : Faire le suivi hebdomadaire de l'exécution du plan de réapprovisionnement</t>
  </si>
  <si>
    <t>Améliorer la disponibilité des produits dans les agences de distribution</t>
  </si>
  <si>
    <t>25 au 31 mai</t>
  </si>
  <si>
    <t>Aborder ce point lors des prochaines réunions avec les parties prenantes car les délais objectivés sont difficilement attteints</t>
  </si>
  <si>
    <t>2.2-3.2 : Faire le suivi de la prise en compte des écarts relevés lors de chaque inventaire</t>
  </si>
  <si>
    <t>1.1-6</t>
  </si>
  <si>
    <t>1.1-6.1 : Apporter une assistance technique pour l'organisation d'un atelier de préquantification des médicaments pour la prise en charge de la santé de la Mère et de l'enfant.</t>
  </si>
  <si>
    <t>Disponibilité des données et hypothèses nécessaires à la prévision des besoins en médicaments de la santé de la mère et de l'enfant</t>
  </si>
  <si>
    <t>Bassam</t>
  </si>
  <si>
    <t>01 au 04 juin 2026</t>
  </si>
  <si>
    <t>✅ OUI</t>
  </si>
  <si>
    <t>1.1-6.2 : Apporter une assistance technique pour l'organisation d'un atelier de quantification des médicaments pour la prise en charge de la santé de la Mère et de l'enfant.</t>
  </si>
  <si>
    <t>Disponibilité des plans d'approvisionnements pour les besoins de la période 2027-2028</t>
  </si>
  <si>
    <t>15 au 20 juin 2026</t>
  </si>
  <si>
    <t>2.6-5.2 : Réaliser trois missions de supervision pour les laboratoires de charge virale</t>
  </si>
  <si>
    <t>Renforcement des capacités des gestionnaires de pharmacie et des techniciens de laboratoire dans la gestion des produits de la charge virale /EID</t>
  </si>
  <si>
    <t>KORHOGO-BOUAKE-DALOA</t>
  </si>
  <si>
    <t>07 au 13 juin 2026</t>
  </si>
  <si>
    <t>01-04 juin 2026</t>
  </si>
  <si>
    <t>ABENGOUROU</t>
  </si>
  <si>
    <t>17 au 19 juin 2026</t>
  </si>
  <si>
    <t>2.2-1.2 : Faire un suivi hebdomadaire des entrées en machine des produits de programme</t>
  </si>
  <si>
    <t>Améliorer la disponibilité des produits au niveau des Agences de distribution</t>
  </si>
  <si>
    <t>2.6-2</t>
  </si>
  <si>
    <t>2.6-2.1 : Organiser des reunions quinzomadaires de suivi  des performances de l'Agence Programme</t>
  </si>
  <si>
    <t>Améliorer la disponibité et la distribution des produits des programmes aux sites clients directs</t>
  </si>
  <si>
    <t>25 mai au 7 juin</t>
  </si>
  <si>
    <t>Commandes et Approvisionnement</t>
  </si>
  <si>
    <t>Traitement de commandes fournisseurs</t>
  </si>
  <si>
    <t>Faible disponibilité de plusieurs consommables à acquerir sur budget ETAT au niveau central (DBS, Tubes EDTA, Tubes rouge, Tubes gris, Pastilles de chloramine, etc)</t>
  </si>
  <si>
    <t>- Procéder à des acquisitions de dépannages pour garantir la continuité des services
- Procéder au paiement des fournisseurs pour une livraison des kits DBS</t>
  </si>
  <si>
    <t>Dédouanement et enlèvement</t>
  </si>
  <si>
    <t>Refus de libération des colis arrivés en raison de l'expiration de l'exonération des produits financés par le Gouvernement Américain. Le service Transit a indiqué que la douane réclamait un courrier, une note ou un document officiel indiquant la poursuite des activités du projet LHSPLA sous le couvert du Département d'Etat Américain.</t>
  </si>
  <si>
    <t>- Obtenir un délai additionnel avec la DGD pour la libération des colis arrivés en attendant le renouvellement de l'exonération des produits acquis sur le budget du Gouvernement Américain</t>
  </si>
  <si>
    <t>LHSPLA-TA  |  NPSP-CI  |  Canevas préparé par Charles Oscar LEBRI, MEL Manager  |  FY2026</t>
  </si>
  <si>
    <t>Entité : SE – Suivi &amp; Évaluation (MEL)</t>
  </si>
  <si>
    <t>SE</t>
  </si>
  <si>
    <t>LEBRI Charles Oscar</t>
  </si>
  <si>
    <t>Du 25/05 au 29/05/2026</t>
  </si>
  <si>
    <t>1.7-6</t>
  </si>
  <si>
    <t>1.7-6.5 : Apporter un appui à la mise en oeuvre des recommandations de l'EUV.</t>
  </si>
  <si>
    <t>Évaluer le niveau de mise en œuvre des recommandations issues de l'EUV 2025 et renforcer les capacités des agents de la chaîne d'approvisionnement dans la gestion des produits antipaludiques au niveau de 10 districts sanitaires identifiés.</t>
  </si>
  <si>
    <t>MARAHOUE, HAMBOL, GBEKE, LOH-GUIBOUA, IFFOU, AGNEBY-TIASSA</t>
  </si>
  <si>
    <t>27/05/2026 au 10/06/2026</t>
  </si>
  <si>
    <t>1.7-3</t>
  </si>
  <si>
    <t>1.7-3.4 : Déploiement dans 31 régions</t>
  </si>
  <si>
    <t>Déployer et Former les gestionnaires des établissements sanitaires, en charge de la File Active dans les districts sanitaires des régions de BOUNKANI, GBOKLE, NAWA, GUEMON, HAUT-SASSANDRA, HAMBOL et GÔH, à l’utilisation du SNGFA pour le rapportage et la gestion des données de file active</t>
  </si>
  <si>
    <t>AGNEBY-TIASSA, N'ZI, MARAHOUE, GOH, GUEMON et HAMBOL</t>
  </si>
  <si>
    <t>07/06/2026 au 18/06/2026</t>
  </si>
  <si>
    <t>Quelques ajustements mineurs de l'outil, relatifs aux formulaires de suivi des patients, ont été identifiés et communiqués à Bluesquare par l'équipe LHSPLA.</t>
  </si>
  <si>
    <t>Déployer et Former les gestionnaires des établissements sanitaires, en charge de la File Active dans les districts sanitaires des régions de LOH DJIBOUA, MORONOU,IFFOU, BAGOUE,  GRANDS-PONTS et BAFING, à l’utilisation du SNGFA pour le rapportage et la gestion des données de file active</t>
  </si>
  <si>
    <t>LOH DJIBOUA ; MORONOU ; IFFOU ; BAGOUE ; GRANDS-PONTS et BAFING</t>
  </si>
  <si>
    <t>21/06/2026 au 03/07/2026</t>
  </si>
  <si>
    <t>Entité : SI – Système d'Information</t>
  </si>
  <si>
    <t>SI</t>
  </si>
  <si>
    <t>KOUAKOU ABIMAN THERESE D'AVILA EPSE DJEREKE</t>
  </si>
  <si>
    <t>4.2-3</t>
  </si>
  <si>
    <t>4.2.3.3 : Développer des guides utilisateurs simplifiés</t>
  </si>
  <si>
    <t>-  Ciblage précis des besoins en formations ;
 -  éviter les sessions génériques peu efficaces  
-  optimiser le budget</t>
  </si>
  <si>
    <t>1.2-3</t>
  </si>
  <si>
    <t>1.2-3.1 : Equiper la NPSP en équipement informatique</t>
  </si>
  <si>
    <t xml:space="preserve">Doter la NPSP d’ordinateurs portables </t>
  </si>
  <si>
    <t>Acquisition prévu: 37 ordinateurs
Une premiere acquisition de 14 ordinateurs est  en cours; 
Reste 23 ordinateurs à aquérir</t>
  </si>
  <si>
    <t>4.2-5</t>
  </si>
  <si>
    <t>4.2.5.1 : Réaliser une évaluation diagnostique initial (Data Quality Assessment)</t>
  </si>
  <si>
    <t>- Mesurer l’exactitude des données (concordance entre les données saisies et les sources primaires).
- Évaluer l’exhaustivité (complétude des enregistrements et des rapports).
- Vérifier la ponctualité (respect des délais de saisie et de transmission).
- Analyser la cohérence des données (absence de contradictions entre les différentes sources et rapports).
- Apprécier l’accessibilité des données (facilité d’accès, disponibilité et utilisation pour la prise de décision).</t>
  </si>
  <si>
    <t>Les districts sanitaires de Bondoukou, Kani, Niakaramadougou, Sandegué, Yakassé Attobrou, Gagnoa 1, Daloa, Bouafé, Fresco, Dianra</t>
  </si>
  <si>
    <t>du 08/06/2026 au 12/06/2026</t>
  </si>
  <si>
    <t>4.2.5.4 : Monitorer à distance les sites identifiés par le DQA – tableau de bord mSupply</t>
  </si>
  <si>
    <t xml:space="preserve">-  Suivre en temps réel les indicateurs clés de performance des sites sélectionnés.
-  Identifier rapidement les anomalies, incohérences et écarts de données.
-  Évaluer la qualité et la complétude des données saisies dans mSupply.
-  Détecter les sites nécessitant un accompagnement ou des actions correctives.
-  Produire des rapports périodiques de suivi à destination des parties prenantes.
-  Faciliter la prise de décision basée sur les données issues du tableau de bord mSupply. </t>
  </si>
  <si>
    <t>du 15/06/2026 
au 27/06/2026</t>
  </si>
  <si>
    <t>4.2-4</t>
  </si>
  <si>
    <t>4.2.4.1 : Cartographier et prioriser les bugs mSupply</t>
  </si>
  <si>
    <t>du 01/06/2026 au 31/06/2026</t>
  </si>
  <si>
    <t>Entité : Service Finances</t>
  </si>
  <si>
    <t>Entité / Unité</t>
  </si>
  <si>
    <t>FINANCES</t>
  </si>
  <si>
    <t>YAPO ARNAUD</t>
  </si>
  <si>
    <t>Du  24/04 au 01/05/2026</t>
  </si>
  <si>
    <t>1.11-1</t>
  </si>
  <si>
    <t>1.11-1.12 : Acquisition de stickers pour le matériel acquis par le projet</t>
  </si>
  <si>
    <t>Référencer et identifier le matériel acquis dans le cadre du projet LHSPLA</t>
  </si>
  <si>
    <t>Finaliser les code QR</t>
  </si>
  <si>
    <t>1.11-1.11 : Equiper le personnel du projet en matériel informatique</t>
  </si>
  <si>
    <t>Renforcer les capacités opérationnelles et le système d'information de l’équipe projet LHSPLA</t>
  </si>
  <si>
    <t>Finaliser le paiement d'un acompte au fournisseur.</t>
  </si>
  <si>
    <t>1.11-1.9 : Rémunération des agents LHSPLA.</t>
  </si>
  <si>
    <t>Déterminer la quote part de chaque financement dans les refacturation de salaires d'avril à septembre 2026</t>
  </si>
  <si>
    <t>Proposition de quote part
COP=49%
MOP=19%
MCH=32%</t>
  </si>
  <si>
    <t>1.11-1.5 : Atelier de formation sur les méthodes de réconciliations des pièces comptables</t>
  </si>
  <si>
    <t>Création d'un outil permettant de générer des budgets de TDR</t>
  </si>
  <si>
    <t>Cahier de charge transmis au SI
Vidéo demonstrative effectuée
Test de l'outil</t>
  </si>
  <si>
    <t>1.11-1.2 : Réaliser des clôtures comptables mensuels</t>
  </si>
  <si>
    <t>Editer les liquidations d'octobre 2025 à Avril 2026 pour approbation</t>
  </si>
  <si>
    <t>Raport financier présentant les charges et les dépenses effectuées de la période</t>
  </si>
  <si>
    <t>Editer les appels de fonds de juin à septembre 2026 pour approbation</t>
  </si>
  <si>
    <t>Appels de fonds de juin à septembre 2026</t>
  </si>
  <si>
    <t>Produire des états financiers fiables présentant la situation financière du projet à fin avril 2026</t>
  </si>
  <si>
    <t>NPSP</t>
  </si>
  <si>
    <t>CONTRÔLE DES COMPTES CLES: Charges, produits, tiers</t>
  </si>
  <si>
    <t>1.11-1.3 : Réaliser un audit interne</t>
  </si>
  <si>
    <t>Préparer l'audit financier du projet LHSPLA de l'exercice 2025</t>
  </si>
  <si>
    <t xml:space="preserve">L'activité sera effectué avec un cabinet </t>
  </si>
  <si>
    <t>1.11-1.1 : Organiser une mission de collecte et de réconciliation des pièces sur le terrain</t>
  </si>
  <si>
    <t>Collecter les pièces et finaliser les reconciliations des appuis aux sites décentralisés</t>
  </si>
  <si>
    <t>Entité : Service Communication</t>
  </si>
  <si>
    <t>COM</t>
  </si>
  <si>
    <t>COMPILATION HEBDOMADAIRE  —  BULLETIN LHSPLA-TA</t>
  </si>
  <si>
    <t>Semaine de référence : (se renseigne automatiquement à partir des onglets entité)</t>
  </si>
  <si>
    <t>Semaine du 27 avril au 01 mai 2026</t>
  </si>
  <si>
    <t xml:space="preserve">  B.  ACTIVITÉS RÉALISÉES  —  Semaine précédente  (toutes entités)</t>
  </si>
  <si>
    <t>CAD – Chaîne d'Approvisionnement Décentralisée</t>
  </si>
  <si>
    <t>Titre de l'activité</t>
  </si>
  <si>
    <t>PMO – Gestion de Projet (Project Management Office)</t>
  </si>
  <si>
    <t>QAD – Quantifiction Achat et Distribution</t>
  </si>
  <si>
    <t>SE – Suivi &amp; Évaluation (MEL)</t>
  </si>
  <si>
    <t>SI – Système d'Information</t>
  </si>
  <si>
    <t xml:space="preserve">  FINANCES  —  Service Finances</t>
  </si>
  <si>
    <t>CAC - Chaine d'Approvisionnement Décentralisée</t>
  </si>
  <si>
    <t xml:space="preserve">  COM  — Service Communication</t>
  </si>
  <si>
    <t xml:space="preserve">  C.  ACTIVITÉS PLANIFIÉES  —  Mois glissant  (toutes entités)</t>
  </si>
  <si>
    <t xml:space="preserve">  PMO  —  PMO – Gestion de Projet (Project Management Office)</t>
  </si>
  <si>
    <t xml:space="preserve"> CAC - Chaine d'Approvisionnement Communautaire</t>
  </si>
  <si>
    <t xml:space="preserve">  D.  POINTS DE VIGILANCE  /  RISQUES  /  BESOINS DE DÉCISION  (toutes entités)</t>
  </si>
  <si>
    <t>OBJECTIFS OPÉRATIONNELS</t>
  </si>
  <si>
    <t>ACTIVITÉS</t>
  </si>
  <si>
    <t>NARRATIF D'ACTIVITÉS</t>
  </si>
  <si>
    <t>CODE TACHE</t>
  </si>
  <si>
    <t>TÂCHES</t>
  </si>
  <si>
    <t>RESPONSABLES</t>
  </si>
  <si>
    <t>BENEFICIAIRES
(NIVEAU CENTRAL)</t>
  </si>
  <si>
    <t>BENEFICIAIRES
(DIRECTIONS/DEPARTEMENTS)</t>
  </si>
  <si>
    <t>DATE DE DEBUT</t>
  </si>
  <si>
    <t>DATE DE FIN</t>
  </si>
  <si>
    <t>RÉSULTATS ATTENDUS PAR TACHES (Quantifier et expliquer)</t>
  </si>
  <si>
    <t>RÉSULTATS ATTENDUS PAR ACTIVITÉ (Quantifier et expliquer)</t>
  </si>
  <si>
    <t>INDICATEURS</t>
  </si>
  <si>
    <t>BÉNÉFICES ATTENDUS PAR ACTIVITÉ</t>
  </si>
  <si>
    <t>LIVRABLES par Tâche</t>
  </si>
  <si>
    <t>LIVRABLES par Activité</t>
  </si>
  <si>
    <t>PROGRAM AREA</t>
  </si>
  <si>
    <t>COST CATEGORY</t>
  </si>
  <si>
    <t>NARRATIF DU BUDGET</t>
  </si>
  <si>
    <t>COP(S1)</t>
  </si>
  <si>
    <t>COP(S2)</t>
  </si>
  <si>
    <t>COP</t>
  </si>
  <si>
    <t>MOP</t>
  </si>
  <si>
    <t>MCH</t>
  </si>
  <si>
    <t>US LEGACY</t>
  </si>
  <si>
    <t>BUDGET GLOBAL</t>
  </si>
  <si>
    <t>Avr-26</t>
  </si>
  <si>
    <t>VERIF 1</t>
  </si>
  <si>
    <t>VERIF 2</t>
  </si>
  <si>
    <t>VERIF 3</t>
  </si>
  <si>
    <t>VERIF 4</t>
  </si>
  <si>
    <t>OS 1 : APPUYER LE GOCI, À TRAVERS LA DIRECTION DE L'ACTIVITÉ PHARMACEUTIQUE (DAP), LE COMITÉ NATIONAL DE COORDINATION DE LA CHAINE D'APPROVISIONNEMENT EN MÉDICAMENTS ESSENTIELS ET PRODUITS STRATÉGIQUES DE SANTÉ (CNCAM) ET LES PROGRAMMES NATIONAUX DE SANTÉ (PNLS, PNLP, PNLT, PNSME, ETC.) POUR RENFORCER LE SYSTÈME NATIONAL DE CHAÎNE D'APPROVISIONNEMENT, EN METTANT L'ACCENT SUR LA QUANTIFICATION, LA PRÉVISION, LA LOGISTIQUE NATIONALE, LA GESTION DU PLAN D'APPROVISIONNEMENT EN PRODUITS DE SANTÉ, LA GESTION ET LA VISIBILITÉ DES DONNÉES.</t>
  </si>
  <si>
    <t>USLEG</t>
  </si>
  <si>
    <t>US LEG</t>
  </si>
  <si>
    <t>OO 1.1 : Soutenir les exercices annuels de quantification et de prévision pour le VIH, le paludisme, la tuberculose,  les médicaments essentiels et d'autres produits.</t>
  </si>
  <si>
    <t>1.1-1 : Apporter un appui technique et financier aux exercices de quantification du programme national de santé PNLS.</t>
  </si>
  <si>
    <t>LHSPLA apportera un soutien technique à l'exercice annuel de quantification des ARV/IO et des produits de laboratoire. Le conseiller en quantification plaidera pour l'optimisation du traitement antirétroviral, notamment la priorisation du traitement à base de DTG chez l'enfant (pALD) et chez l'adulte ainsi que la recommandation des présentation des boites de TLD 90 et 180 afin de booster le MMD.
De plus, au cours de l'exercice de quantification, le QFA sensibilisera les membres du comité de quantification sur les directives du TPT &amp; IVSA pour s'assurer que les produits sont correctement prévus et planifiés.
Un autre exercice de quantification aura lieu pour les kits IST avec différents acteurs des systèmes (PMO,  branche IST du PNLS..)
Suite aux différents exercices de quantification, LHSPLA soutiendra également le programme VIH pour diffuser le résultat de quantification, le plan d'approvisionnement 2027 des ARV, les produits de laboratoire et des kits IST et poussera les agents d'approvisionnement à passer des commandes pour permettre des approvisionnements respectant le délai de livraison.
Le QFA de LHSPLA collaborera avec les autres programmes de santé (PNLT, PNN, Médicaments essentiels,....) pour gérer leurs exercices annuels de quantification afin d'assurer l'exactitude des résultats.
Cet accompagnement transversal de LHSPLA à tous les programmes de santé est une manière d'aider aux bonnes pratiques de quantification des produits de santé et ainsi d'éviter les ruptures de stock et les péremptions</t>
  </si>
  <si>
    <t>1.1-1.1 : Apporter une assistance technique et financière pour l'organisation d'un atelier de préquantification des ARV, IO et des produits de laboratoire.</t>
  </si>
  <si>
    <t>PNS</t>
  </si>
  <si>
    <t>PNLS</t>
  </si>
  <si>
    <t>30/05/2026</t>
  </si>
  <si>
    <t>* Les Besoins annuels pour les ARV &amp; IO, Lab, kits IST pour les années 2027 &amp; 2028 sont estimés et disponibles
* Les plans d'approvisionnement 2027 &amp; 2028 pour les ARV &amp; IO, Lab, et kits IST sont finalisés et transmis</t>
  </si>
  <si>
    <t>*Taux de précision de la quantification des produits traceurs du PNLS
*Taux d'exécution du plan d'approvisionnement PNLS</t>
  </si>
  <si>
    <t xml:space="preserve">Disponibilité adéquate des produits à tous les niveaux de la chaine d'approvisionnement, afin de réduire les risques de rupture et de surstock </t>
  </si>
  <si>
    <t>Rapport de préquantification PNLS</t>
  </si>
  <si>
    <t>Rapports de quantification PNLS</t>
  </si>
  <si>
    <t>Support and Assistance</t>
  </si>
  <si>
    <t>*Atelier de 5 jours regroupant 28 personnes dont 6 LHSPLA, 15 nationaux, 7 partenaires
Prise en charge LHSPLA et partie nationale
Location de salle / Pause café / Eau en salle / Forfait carburant véhicule TPM / Full perdiem pour le staff LHSPLA / Frais péage / Forfait transport / Frais de connexion internet / Autres frais</t>
  </si>
  <si>
    <t>1.1-1.2 : Apporter une assistance technique et financière pour l'organisation d'un atelier de quantification des ARV, IO.</t>
  </si>
  <si>
    <t xml:space="preserve">Disponibilité adéquate des produits ARV/IO à tous les niveaux de la chaine d'approvisionnement, afin de réduire les risques de rupture et de surstock </t>
  </si>
  <si>
    <t>Rapport de quantification ARV/IO</t>
  </si>
  <si>
    <t>*Atelier de 6 jours regroupant 25 personnes dont 7 LHSPLA
Prise en charge LHSPLA
Location de salle / Pause café / Eau en salle / Forfait carburant véhicule Directrice, TPM, PSM / Full perdiem pour le staff LHSPLA / Frais péage / Frais de connexion internet / Autres frais</t>
  </si>
  <si>
    <t>1.1-1.3 : Apporter une assistance technique et financière pour l'organisation d'un atelier de quantification des produits de laboratoire liés au VIH.</t>
  </si>
  <si>
    <t xml:space="preserve">Disponibilité adéquate des produits de laboratoire surtout ceux de la charge virale à tous les niveaux de la chaine d'approvisionnement, afin de réduire les risques de rupture et de surstock </t>
  </si>
  <si>
    <t>Rapport de quantification LABO</t>
  </si>
  <si>
    <t>*Atelier de 6 jours regroupant 20 personnes dont 5 LHSPLA
Prise en charge LHSPLA
*Location de salle
*Pause café
*Eau en salle
*Forfait carburant véhicule TPM, PSM
*Full perdiem pour le staff LHSPLA  
*Frais péage
*Forfait carburant
*Frais de connexion internet
*Autres frais</t>
  </si>
  <si>
    <t>1.1-1.4 : Apporter une assistance technique à l' atelier de quantification des produits de lutte contre les IST.</t>
  </si>
  <si>
    <t xml:space="preserve">Disponibilité adéquate des kits IST à tous les niveaux de la chaine d'approvisionnement, afin de réduire les risques de rupture et de surstock </t>
  </si>
  <si>
    <t>Rapport de quantification KIT IST</t>
  </si>
  <si>
    <t>Sans budget</t>
  </si>
  <si>
    <t>1.1-2 : Apporter un appui technique et financier aux exercices de quantification du programme national de santé PNLP.</t>
  </si>
  <si>
    <t>1.1-2.1 : Apporter une assistance technique et financière pour l'organisation d'un atelier de préquantification des antipaludiques et autres intrants de lutte contre le paludisme.</t>
  </si>
  <si>
    <t>PNLP</t>
  </si>
  <si>
    <t>*Les Besoins annuels 2027 &amp; 2028 des antipaludiques et intrants pour les années 2027 &amp; 2028 sont estimés et disponibles
* Les Plans d'approvisionnement 2027 &amp; 2028 pour les antipaludiques sont finalisés et transmis</t>
  </si>
  <si>
    <t>*Taux de précision de la quantification des produits traceurs du PNLP
*Taux d'exécution du plan d'approvisionnement PNLP</t>
  </si>
  <si>
    <t xml:space="preserve">Disponibilité adéquate des antipaludiques à tous les niveaux de la chaine d'approvisionnement, afin de réduire les risques de rupture et de surstock </t>
  </si>
  <si>
    <t>Rapport de préquantification PNLP</t>
  </si>
  <si>
    <t>Rapport de quantification PNLP</t>
  </si>
  <si>
    <t>Atelier de 5 jours avec 6 participants LHSPLA
Prise en chargeLHSPLA
*Forfait carburant véhicule TPM, PSM
*Full perdiem pour le staff LHSPLA 
*Forfait transport
*Frais de connexion internet 
*Frais péage
*Autres frais</t>
  </si>
  <si>
    <t>1.1-2.2 : Apporter une assistance technique et financière pour l'organisation d'un atelier de quantification des antipaludiques et autres intrants de lutte contre le paludisme.</t>
  </si>
  <si>
    <t>Rapports de quantification PNLP</t>
  </si>
  <si>
    <t>-Atelier de 5 jours avec 7 participants LHSPLA
Prise en chargeLHSPLA et location de salle
*Forfait carburant véhicule Directrice ,  TPM
*Full perdiem pour le staff LHSPLA 
*Location de salle
*Pause café
*Eau en salle
*Forfait transport
*Frais de connexion internet 
*Frais péage
*Autres frais</t>
  </si>
  <si>
    <t>1.1-3 : Apporter un appui technique aux exercices de quantification du programme national de santé PNLT.</t>
  </si>
  <si>
    <t>1.1-3.1 : Apporter une assistance technique pour l'organisation d'un atelier de quantification des médicaments et intrants de lutte contre la tuberculose.</t>
  </si>
  <si>
    <t>PNLT</t>
  </si>
  <si>
    <t>*Les Besoins annuels 2027 &amp; 2028 des antituberculeux et intrants pour les années 2027 &amp; 2028 sont estimés et disponibles
* Les Plans d'approvisionnement 2027 &amp; 2028 pour les antipaludiques sont finalisés et transmis</t>
  </si>
  <si>
    <t>*Taux de précision de la quantification des produits traceurs du PNLT
*Taux d'exécution du plan d'approvisionnement PNLT</t>
  </si>
  <si>
    <t xml:space="preserve">Disponibilité adéquate des antituberculeux à tous les niveaux de la chaine d'approvisionnement, afin de réduire les risques de rupture et de surstock </t>
  </si>
  <si>
    <t>Rapport de quantification PNLT</t>
  </si>
  <si>
    <t>Rapports de quantification PNLT</t>
  </si>
  <si>
    <t>-Atelier de 5 jours avec  5 participants LHSPLA
Prise en charge LHSPLA
*Perdiems
*Forfait carburant véhicule 
*Full perdiem pour le staff LHSPLA 
*Forfait Transport
*Frais de connexion internet 
*Frais péage
*Autres frais</t>
  </si>
  <si>
    <t>1.1-4 : Apporter un appui technique aux exercices de quantification du programme national de santé PNN.</t>
  </si>
  <si>
    <t>1.1-4.1 : Apporter une assistance technique pour l'organisation d'un atélier de quantification des médicaments de la nutrition.</t>
  </si>
  <si>
    <t>PNN</t>
  </si>
  <si>
    <t>*Les Besoins annuels 2027 &amp; 2028 des médicaments et intrants de lutte contre la malnutrition pour les années 2027 &amp; 2028 sont estimés et disponibles
* Les Plans d'approvisionnement 2027 &amp; 2028 pour les médicaments et intrants de la nutrition sont finalisés et transmis</t>
  </si>
  <si>
    <t>*Taux de précision de la quantification des produits traceurs du PNN
*Taux d'exécution du plan d'approvisionnement PNN</t>
  </si>
  <si>
    <t xml:space="preserve">Disponibilité adéquate des intrants de lutte contre la malnutrition à tous les niveaux de la chaine d'approvisionnement, afin de réduire les risques de rupture et de surstock </t>
  </si>
  <si>
    <t>Rapport de quantification PNN</t>
  </si>
  <si>
    <t>Rapports de quantification PNN</t>
  </si>
  <si>
    <t>-Atelier de 5 jours regroupant 15 personnes dont 4 participants LHSPLA
Prise en charge LHSPLA
*Full perdiem pour le staff LHSPLA 
*Forfait Transport
*Frais de connexion internet 
*Frais péage
*Autres frais</t>
  </si>
  <si>
    <t>1.1-5 : Apporter un appui technique aux exercices de quantification de la NPSP.</t>
  </si>
  <si>
    <t>1.1-5.1 : Apporter une assistance technique pour l'organisation d'un atelier de préquantification des medicaments essentiels.</t>
  </si>
  <si>
    <t>DA</t>
  </si>
  <si>
    <t>* Les Besoins annuels 2027 des médicaments essentiels sont estimés et disponibles
* Le Plan d'approvisionnement 2027 des médicaments essentiels est finalisé et transmis</t>
  </si>
  <si>
    <t xml:space="preserve">*Taux de précision de la quantification des médicaments essentiels
</t>
  </si>
  <si>
    <t xml:space="preserve">Disponibilité adéquate des médicaments essentiels à tous les niveaux de la chaine d'approvisionnement, afin de réduire les risques de rupture et de surstock </t>
  </si>
  <si>
    <t>Rapport de préquantification</t>
  </si>
  <si>
    <t>Rapport de quantification</t>
  </si>
  <si>
    <t>Training</t>
  </si>
  <si>
    <t>1.1-5.2 : Apporter une assistance technique pour l'organisation d'un atelier de quantification des medicaments essentiels.</t>
  </si>
  <si>
    <t>1.1-6 : Apporter un appui technique et financier aux exercices de quantification du programme national de santé de la Mère et de l'Enfant</t>
  </si>
  <si>
    <t>1.1-6.1 : Apporter une assistance technique pour l'organisation d'un atelier de préquantification des médicaments pour la prise en charge de la santé de la Mère et de l'enfant dans le cadre de la reduction de la mortalité materno-infantile</t>
  </si>
  <si>
    <t>PNSME</t>
  </si>
  <si>
    <t>30/06/2026</t>
  </si>
  <si>
    <t>* Les Besoins annuels 2027 &amp; 2028 des médicaments de la prise en charge de la Santé de la Mère et de l'Enfant sont estimés et disponibles
* Les Plans d'approvisionnement 2027 &amp; 2028 des médicaments de la Santé de la Mère et de l'Enfant sont finalisés et transmis</t>
  </si>
  <si>
    <t>*Taux de précision de la quantification des produits traceurs du PNSME
*Taux d'exécution du plan d'approvisionnement PNSME</t>
  </si>
  <si>
    <t>Disponibilité adéquate des produits à tous les niveaux de la chaine d'approvisionnement, afin de réduire les risques de rupture dans le cadre de la réduction de la mortalité materno-infantile</t>
  </si>
  <si>
    <t>Rapport de préquantification PNSME</t>
  </si>
  <si>
    <t>Rapport de quantification PNSME</t>
  </si>
  <si>
    <t>-Atelier de 4 jours avec 4 participants LHSPLA
Prise en charge LHSPLA
Location salle
Pause café
*Forfait carburant véhicule TPM
*Full perdiem pour le staff LHSPLA 
*Forfait carburant
*Frais de connexion internet 
*Frais péage
*Autres frais</t>
  </si>
  <si>
    <t>1.1-6.2 : Apporter une assistance technique pour l'organisation d'un atelier de quantification des médicaments pour la prise en charge de la santé de la Mère et de l'enfant dans le cadre de la reduction de la mortalité materno-infantile.</t>
  </si>
  <si>
    <t>* Les Besoins annuels 2027 &amp; 2028 des médicaments pour la prise en charge de la Santé de la Mère et de l'Enfant sont estimés et disponibles
* Les Plans d'approvisionnement 2027 &amp; 2028 des médicaments de la Santé de la Mère et de l'Enfant sont finalisés et transmis</t>
  </si>
  <si>
    <t>-Atelier de 6 jours avec 5 participants LHSPLA
Prise en chargeLHSPLA
Location de salle 
Pause café
*Forfait carburant véhicule  
*Full perdiem pour le staff LHSPLA 
*Forfait Transport
*Frais de connexion internet 
*Frais péage
*Autres frais</t>
  </si>
  <si>
    <t>1.1-7 : Apporter un appui technique aux programmes de santé pour la restitution des résultats de quantification et le suivi de la résolution des gaps</t>
  </si>
  <si>
    <t>Ces reunions, regroupant la DAP, les PTF, les programmes, le Gouvernement (DAF Santé, DGS, etc), devraient permettre de présenter à toutes les parties prenantes les résultats de la quantification et trouver des solutions aux gaps identifiés lors des exercices de quantification</t>
  </si>
  <si>
    <t>1.1-7.1 : Apporter un appui technique et financier aux programmes pour l'organisation de reunions de restitution des résultats de la quantification et le suivi de la résolution des gaps</t>
  </si>
  <si>
    <t>30/08/2026</t>
  </si>
  <si>
    <t>*Les résultats des quantifications sont restitués et les gaps sont adressés
*La résolution des gaps est suivie et des alertes sont émises quotidiennement</t>
  </si>
  <si>
    <t>*Taux d'exécution des plans d'approvisionnement</t>
  </si>
  <si>
    <t>Couverture financière complète des besoins des plans d'approvisionnement 2027</t>
  </si>
  <si>
    <t>Rapport de réunions de restitution</t>
  </si>
  <si>
    <t>Réunion au niveau de chaque PNS (PNLP, PNLS, PNSME) : 20 participants attendus
Pause café 
Pause dejeuner
Eau en salle
Forfait transport pour la partie nationale (hors PNS)</t>
  </si>
  <si>
    <t>1.1-9 : Apporter un appui à la diffusion des hypothèses de quantification</t>
  </si>
  <si>
    <t>Sous le lead de la DGS et la DAP, cette activité permettra aux PNS (PNLS &amp;PNLP) d'expliquer aux prestataires et PMO, les hypothèses utilisées lors des exercices de quantification pour une  utilisation rationnelle des produits de santé.</t>
  </si>
  <si>
    <t>1.1-9.1 : Organiser des reunions de présentation des hypothèses de quantification à travers les plateformes existantes (CREMCAPS, e-learning)</t>
  </si>
  <si>
    <t>30/12/2025</t>
  </si>
  <si>
    <t>*Les hypothèses de quantification sont diffusées à travers la plateforme Cremcaps</t>
  </si>
  <si>
    <t>Nombre de reunions organisées
Nombre de gestionnaires orientés</t>
  </si>
  <si>
    <t>Rapport de réunion</t>
  </si>
  <si>
    <t>OO 1.1 : Apporter l'assistance technique pour faciliter la distribution des produits de santé des districts sanitaires aux sites non clients directs.</t>
  </si>
  <si>
    <t xml:space="preserve">1.1-10 : Appuyer les Districts sanitaires en équipement informatique </t>
  </si>
  <si>
    <t>L'équipement en matériel informatique des districts sanitaires  est essentiel pour l'opérationnalisation efficace de ses activités et ceux de ses ESPC. Cela permettra  d'effectuer le deploiement des nouveaux centres sur leurs aires sanitaires,</t>
  </si>
  <si>
    <t>1.1-10.1 : Equiper Les Districts Sanitaires en matériel informatique  pour une opérationnalisation de leurs activités</t>
  </si>
  <si>
    <t>DGS</t>
  </si>
  <si>
    <t>100% du matériel informatique acquis</t>
  </si>
  <si>
    <t>Nombre de materiel informatique acquis /nombre de materiel informatique prevu</t>
  </si>
  <si>
    <t>"*Amélioration de la disponibilité des produits
* Amelioration de la distribution aux centres de santé"</t>
  </si>
  <si>
    <t>* Bordereau de livraison
*Facture</t>
  </si>
  <si>
    <t>Equipment and supplies</t>
  </si>
  <si>
    <t>Equipment</t>
  </si>
  <si>
    <t>Acquisition de 35 tablettes
(190.000 FCFA / tablette+chargeur) et de 15 ordinateurs bureaux (650 000/ ordinateur)</t>
  </si>
  <si>
    <t>1.1-11 : Evaluer le niveau d'appropriation de la quantification par les PNS</t>
  </si>
  <si>
    <t>L'évaluation du niveau d'appropriation de la quantification par les PNS permettra de connaitre le niveau d'appropriation de la quantification par les programmes</t>
  </si>
  <si>
    <t>1.1-11.1 : Mettre en place un GTT chargé de l'évaluation du niveau d'appropriation de la quantification par les PNS</t>
  </si>
  <si>
    <t>DAP</t>
  </si>
  <si>
    <t>Le niveau d'appropriation de la quantification par les programmes est connu</t>
  </si>
  <si>
    <t xml:space="preserve">Améliorer la qualité de la quantification </t>
  </si>
  <si>
    <t>compte rendu de GTT</t>
  </si>
  <si>
    <t xml:space="preserve">Analyser et diffuser le rapport d'évaluation </t>
  </si>
  <si>
    <t>Meeting</t>
  </si>
  <si>
    <t>1.1-11.2 : Élaborer un forrmulaire d'évaluation</t>
  </si>
  <si>
    <t>Formulaire d'évaluation disponible</t>
  </si>
  <si>
    <t xml:space="preserve">1.1-11.3 :Collecter les réponses des parties prenantes </t>
  </si>
  <si>
    <t>Point de la collecte</t>
  </si>
  <si>
    <t xml:space="preserve">1.1-11.4 : Analyser et diffuser le rapport d'évaluation </t>
  </si>
  <si>
    <t>Mail de transmissison</t>
  </si>
  <si>
    <t>OO 1.2 : Apporter l'assistance technique pour faciliter la distribution des produits de santé des districts sanitaires aux sites non clients directs.</t>
  </si>
  <si>
    <t xml:space="preserve">1.2-1 : Faire le suivi de la livraison des produits de santé aux sites deservis par le district sanitaire                                                              </t>
  </si>
  <si>
    <t>L'équipe CAD s'assurera auprès des districts sanitaires de la transmission des rapports par les ESPC, de la disponibilité des chronogrammes et de l'exécution effective de la distribution selon les circuits</t>
  </si>
  <si>
    <t xml:space="preserve">1.2-1.1 : Faire le suivi  la complétude et la promptitude des rapports des sites non clients directs (mSupply, …)                                  </t>
  </si>
  <si>
    <t>DPAS</t>
  </si>
  <si>
    <t>. &gt;= 95% de promptitude 
. 100% de complétude</t>
  </si>
  <si>
    <t>Proportion d'ESPC ayant bénéficié de livraison sur site = 70%</t>
  </si>
  <si>
    <t>Promptitude des rapports</t>
  </si>
  <si>
    <t>Approvisionnement régulier des ESPC</t>
  </si>
  <si>
    <t>Rapport mensuel</t>
  </si>
  <si>
    <t>Rapport trimestriel</t>
  </si>
  <si>
    <t xml:space="preserve">1.2-1.2 : Faire le suivi de la disponibilité du chronogramme de distribution au niveau des districts sanitaires </t>
  </si>
  <si>
    <t>Proportion de district sanitaire utilisant les circuits optimisés pour la distribution au dernier km = 90%</t>
  </si>
  <si>
    <t>Taux de disponibilité des produits traceurs</t>
  </si>
  <si>
    <t>1.2-1.3 : Faire le suivi de  l'éxecution effective de la distribution selon le chronogramme de livraison</t>
  </si>
  <si>
    <t>Taux de respect du chronogramme de livraison = 95%</t>
  </si>
  <si>
    <t xml:space="preserve">1.2-2 : Appuyer l'équipe projet e-STOCK  en équipement informatique </t>
  </si>
  <si>
    <t>Cette activité vise à renforcer les capacités opérationnelles de l’équipe projet à travers la dotation en équipements informatiques. Cet appui permettra d’assurer un suivi technique plus efficace, une meilleure réactivité dans la résolution des incidents, et une performance accrue dans la mise en œuvre des activités liées à mSupply.</t>
  </si>
  <si>
    <t>1.2-2.1 : Doter  l’équipe projet e-STOCK en équipement informatique.</t>
  </si>
  <si>
    <t>31/12/2025</t>
  </si>
  <si>
    <t>*Amélioration de la disponibilité des produits
* Réactivité dans la prise en charge des incidents et demandes mSupply</t>
  </si>
  <si>
    <t>Acquisition de 01 ordinateur portable Core i7</t>
  </si>
  <si>
    <t xml:space="preserve">1.2-3 : Equiper la NPSP   en équipement informatique </t>
  </si>
  <si>
    <t>L’acquisition de matériel informatique essentiel pour le bon fonctionnement et l'amélioration des performances de la NPSP. Cela permettra  d'optimiser ses opérations quotidiennes et aussi d'assurer la qualité et la fiabilité des services offerts.</t>
  </si>
  <si>
    <t xml:space="preserve">1.2-3.1 : Equiper la NPSP   en équipement informatique </t>
  </si>
  <si>
    <t>NPSP-CI</t>
  </si>
  <si>
    <t>DAF/ DSI</t>
  </si>
  <si>
    <t>*Amélioration de la disponibilité des produits
* Amelioration de la distribution aux centres de santé"</t>
  </si>
  <si>
    <t>Acquisition de 37 ordinateurs portables en vue d'équiper la NPSP</t>
  </si>
  <si>
    <t xml:space="preserve">OO 1.3 : Assister les régions, districts et hôpitaux de référence dans la gestion des stocks et la coordination des activités de la chaîne d’approvisionnement visant à accroître la disponibilité des produits au point de prestation de services </t>
  </si>
  <si>
    <t>1.3-1 : Faciliter la communication entre les acteurs de la chaîne d'approvisionnement y compris ceux du niveau communautaire</t>
  </si>
  <si>
    <t>LHSPLA apportera une assistance aux prestataires des structures concernées afin de faciliter les échanges des informations logistiques des produits de santé du niveau central jusqu'au niveau communautaire (transmission des rapport-Commandes de qualité dans les délais requis, disponibilité des stocks, mise à niveau des stocks,  SAP, ...). Les contacts téléphoniques de ces prestataires, inserrés dans la flotte,  seront mis à jour mensuellement.</t>
  </si>
  <si>
    <t>DPAS / DMOSE</t>
  </si>
  <si>
    <t>100% des structures  ont intégré dans la flotte</t>
  </si>
  <si>
    <t xml:space="preserve">Au moins 98% des sites ont transmis des Rapport commande de qualité dans les délais </t>
  </si>
  <si>
    <t>Nombres de structures de santé beneficiant de la flotte</t>
  </si>
  <si>
    <t>Echanges d'informations et suivi des activités
Données de qualité dans e-SIGL/mSupply</t>
  </si>
  <si>
    <t xml:space="preserve">Points mensuels structures dans la flotte NPSP
</t>
  </si>
  <si>
    <t xml:space="preserve">1.3-1.2 : Fournir des forfaits de communication et de connexion internet aux structures du niveau central jusqu'au niveau communautaire. </t>
  </si>
  <si>
    <t>Au moins 98% des numéros des structures identifiées sont dans la flotte NPSP</t>
  </si>
  <si>
    <t>Nombres d'acteurs bénéficiares de la flotte</t>
  </si>
  <si>
    <t>Echanges d'informations et suivi des activités
Présence de données de qualité dans e-SIGL/mSupply</t>
  </si>
  <si>
    <t>Point des sites clients directs identifiés qui ont un numéro MTN actif dans la flotte NPSP</t>
  </si>
  <si>
    <t>Consultants</t>
  </si>
  <si>
    <t>. 33 contacts des Pharmaciens régionaux (dotation mensuelle de 10000 Fcfa par contact sur 06 mois pour les appels), 
. 34 contacts des Pharmaciens de District (dotation mensuelle de 5000 Fcfa par contact sur 06 mois), 
. 55 contacts des gestionnaires des autres sites clients directs (dotation mensuelle de 3000 Fcfa par contact sur 06 mois), 
. 6 contacts de gestionnaires de la DPAS (dotation mensuelle de 3000 Fcfa par contact sur 06  mois)</t>
  </si>
  <si>
    <t>1.3-1.3: Suivre la complétude et la promptitude des RCM des sites clients directs de la NPSP à partir du eSIGL</t>
  </si>
  <si>
    <t>98% de promptitude et 100% de complétude</t>
  </si>
  <si>
    <t xml:space="preserve">Point mensuel de la promptitude et complétude des rapports transmis dans e-SIGL
(Voir rapport trimestriel) </t>
  </si>
  <si>
    <t>1.3-1.4 : Contacter les gestionnaires pour le suivi des activités logistiques et les coacher au besoin</t>
  </si>
  <si>
    <t>Au moins 90% des gestionnaires coachés rapportent correctement dans e-SIGL</t>
  </si>
  <si>
    <t>Nombre de gestionnaires coachés</t>
  </si>
  <si>
    <t xml:space="preserve">Point mensuel des personnes coachées au remplissage correct dans e-SIGL
</t>
  </si>
  <si>
    <t>1.3-2 : Assister les régions, districts et hôpitaux dans la coordination des activités logistiquess et la prise de décisions</t>
  </si>
  <si>
    <t>LHSPLA assistera techniquement et financièrement les régions, districts et hôpitaux dans la mise en œuvre des activités logistiques. Dans ce cadre, des visites de sites, des réunions de coordination, des supervisions formatives, des formations et des coachings seront organisées avec l'appui de LHSPLA / LHSPLA will technically and financially assist regions, districts and hospitals in the implementation of logistics activities. In this context, site visits, coordination meetings, formative supervision, training and coaching will be organized with the support of LHSPLA.</t>
  </si>
  <si>
    <t xml:space="preserve">1.3-2.2 : Organiser des visites d'assistance technique aux acteurs de la chaîne d'approvisionnement décentralisée                                          </t>
  </si>
  <si>
    <t>Pour le COP: Au moins 50 sites clients directs sont visités sur un  trimestre (au moins 25 par bureau CAD). Les sites à visiter sont identifiés selon certains critères (coaching, SIMS, ...)</t>
  </si>
  <si>
    <t>100% des acteurs des sites dont la performanceest inférieur aux objectifs ont été identifiés et sont accompagnés</t>
  </si>
  <si>
    <t>Taux de mise en oeuvre des recommandations ( Cible: 75% des recommandations des visites ont été mise en oeuvre)</t>
  </si>
  <si>
    <t>*Améliorer les activités de la chaîne d'approvisionnement 
*Contribuer à la mise à niveau des stocks des sites clients directs par région 
*Coaching des gestionnaires des ESPC sur les activités logistiques et de rapportage 
*Coaching des gestionnaires des sites clients directs sur les activités logistiques et de rapportage
*Echanges d'informations et suivi des activités de la chaîne d'approvisionnement 
*Echanges d'informations avec les prescripteurs et prises de décision sur les consommations de certains produits</t>
  </si>
  <si>
    <t xml:space="preserve">Rapport de mission </t>
  </si>
  <si>
    <t>Site visits</t>
  </si>
  <si>
    <r>
      <rPr>
        <sz val="12"/>
        <color rgb="FF000000"/>
        <rFont val="Calibri"/>
        <family val="2"/>
        <scheme val="minor"/>
      </rPr>
      <t>.</t>
    </r>
    <r>
      <rPr>
        <sz val="11"/>
        <color rgb="FF000000"/>
        <rFont val="Calibri"/>
        <family val="2"/>
        <scheme val="minor"/>
      </rPr>
      <t xml:space="preserve"> Nombre de structures à visiter:  50 (25 CAD Abidjan - 25 CAD Bouake)
. Nombre de participants: 7 
. Durée de la mission : 10 jours
. Fréquence: 1 /trimestre
. Elements du budget:
* Full perdiem pour le staff
* Forfait collation pour les acteurs (PR) du niveau décentralisé
* carburant</t>
    </r>
  </si>
  <si>
    <t>1.3-2.3 : Apporter un appui technique et financier aux réunions régionales d’analyse et de mise à niveau des stocks</t>
  </si>
  <si>
    <t>Les 33 Régions sanitaires ont réalisées 04 réunions d'analyses de Stocks au cours de l'année</t>
  </si>
  <si>
    <t>Taux d'exécution des plans de rédistribution (cible = 100%)</t>
  </si>
  <si>
    <t>Compte-rendu de réunion</t>
  </si>
  <si>
    <t>Other : financial support for beneficiaries</t>
  </si>
  <si>
    <t>Organiser sur 1 trimestre, 1 Réunion en présentiel   et 1 réunion en visio-conférence  dans chacune des 33 régions. Les participants sont: 33 DR, 113 DS, 18 EPHR, 5 CHU, EPHD et CSU à raison d'une personne par structure. Un forfait collation de 10000 F pour chaque personne non hébergée au cours des réunions en présentiel. Des full perdiems de 40000 Fcfa pour les personnes hébergées au cours des réunions en présentiel. Des forfaits connexion internet de 3000 Fcfa /personne pour les participants autres que les pharmaciens de région au cours des réunions en visio-conférence. Il y aura des frais de transfert de fonds de la NPSP aux 33 régions sanitaires. Chaque réunion en présentiel vera la participation de l'équipe CAD (2 conseillers techniques, 6 assistants et 2 conducteurs) sur 10 jours. Il est prévu le full perdiem pour le staff et 4 véhicules avec une dotation en carburant avec des frais de transfert de fonds. Il est prévu un appui au plan de redéploiement issu de la réunion. le montant dépendra du circuit établi.</t>
  </si>
  <si>
    <t xml:space="preserve">1.3-2.4 : Organiser des rencontres d'orientation logistique au niveau départemental </t>
  </si>
  <si>
    <t>100% des districts sanitaires ont réalisés toutes les réunions prévues</t>
  </si>
  <si>
    <t>Nombres d'acteurs accompagnés (cible= 100%)</t>
  </si>
  <si>
    <t>Rapport de la réunion</t>
  </si>
  <si>
    <t>Appui financier pour les rencontres trimestrielles d'orientation logistique sur deux trimestres à raison d'une dotation de 200000 F/district/trimestre pour 44 districts (22 pour Abidjan et 20 pour Bouaké) Participation des équipes CAD en full perdiems et forfait carburant avec les frais de transfert de fonds pour 42 districts</t>
  </si>
  <si>
    <t>1.3-2.5 : Apporter un appui au renforcement du management et du leadership des acteurs de la chaine d'approvisionnement decentralisée</t>
  </si>
  <si>
    <t xml:space="preserve">Les responsables de pharmacies disposent de connaissances renforcées en leadership et en gestion d’équipe.
 </t>
  </si>
  <si>
    <t>Rapport de la mission</t>
  </si>
  <si>
    <t>Budget MCH: . Nombre de régions à visiter:  4 (2 CAD Abidjan - 2 CAD Bouake)
. Nombre de participants: 6
. Durée de la mission : 5 jours
. Fréquence: 1 /trimestre
. Elements du budget:
* Full perdiem pour le staff
* Full perdiem &amp; Forfait collation pour les acteurs (PR) du niveau décentralisé
* carburant</t>
  </si>
  <si>
    <t>1.3-2.6 : Organiser 4 réunions de coordination en ligne sur les activités de la chaîne d’approvisionnement avec les points focaux des PMO</t>
  </si>
  <si>
    <t>100% des réunions planifiées ont été réalisées dans les delais</t>
  </si>
  <si>
    <t>Taux de recommandations mise en oeuvre à l'issu de ces rencontres (Cible = 75%)</t>
  </si>
  <si>
    <t>Compte-rendu de réunion de coordination</t>
  </si>
  <si>
    <t>1.3-2.7 :Organiser une orientation des pharmaciens de régions sur le management et le leadership dans les activités de chaine d'approvisionnement décentralisée</t>
  </si>
  <si>
    <t xml:space="preserve">4 pharmaciens de régions dans 4 régions sanitaires ont leur capacité manageriale renforcée
 </t>
  </si>
  <si>
    <t>Rapport de formation</t>
  </si>
  <si>
    <t>Budget MCH: Une formation ens alle.  Nombre de participants : 15, qui recevront des full perdiem, un forfait transport et du carburant</t>
  </si>
  <si>
    <t>1.3-2.8 : Organiser 4 réunions trimestrielles avec les acteurs impliqués dans la gestion des produits de santé de la mère et de l'enfant (PNSME,DAP, NPSP,PMO, LHSPLA...)</t>
  </si>
  <si>
    <t>1.3-2.9 : Organiser deux atéliers de coordination avec les Pharmaciens de région, la DAP et les Programmes nationaux de santé</t>
  </si>
  <si>
    <t>100% des ateliers de coordination ont été réalisés</t>
  </si>
  <si>
    <t>Rapport d'atélier</t>
  </si>
  <si>
    <t xml:space="preserve">il s'agira d'organiser deux atéliers pour chaque bureau CAD: Location de salle à Yammousoukro et Khorogo/ 02 (DAP), 03 (PNS), 01 (Agence Programme), 01 (DEX), 01 (QAD), 08 (CAD). Full perdiem sur 05 jours, Forfait transport et Forfait carburant. </t>
  </si>
  <si>
    <t>OO 1.4 : Assister les acteurs des districts, les acteurs des ESPC et les agents de santé communautaire dans le suivi du mécanisme permettant le suivi de la disponibilité des produits de santé communautaire</t>
  </si>
  <si>
    <t>1.4-1 : Assister les districts dans la coordination des activités logistiques communautaires et la prise de décision</t>
  </si>
  <si>
    <t>LHSPLA assistera techniquement et financièrement les régions à travers les districts dans la mise en œuvre des activités communautaire. Dans ce cadre, des réunions de coordination, des formations et des visites/coachings des ESPC engagés dans la stratégie iCCM seront organisées avec l'appui de LHSPLA. Le volet communautaire du système d'alerte précoce sera renforcé avec l'appui de LHSPLA.</t>
  </si>
  <si>
    <t>1.4-1.1 : Organiser une réunion de coordination avec le PNLP, la DAP, la DSCPS, les Pharmaciens de région, les pharmaciens de 106 districts sur la chaîne d'approvisionnement des produits du programme</t>
  </si>
  <si>
    <t>100% des informations clés sur les directives et stratégies du PNLP sont connues par tous les participants</t>
  </si>
  <si>
    <t>Prises de décision pour permettre de maintenir une disponibilité des produits de santé communautaire à au moins 95%</t>
  </si>
  <si>
    <t xml:space="preserve">Améliorer les activités de la chaîne d'approvisionnement Contribuer à la mise à niveau des stocks des ESPC par district sanitaire.  Coaching des ASS et ASC sur les activités logistiques et de rapportage.  </t>
  </si>
  <si>
    <t>Il s'agit d'une réunion en 4 sessions de 2 jours chacune. Cette réunion va regrouper 2 ONG, 33 Pharmaciens de Région, 1 représentant de la DAP, 1 représentant de la DSC, 6 représentants du PNLP, 4 représentants LHSPLA, 1 représentant de la DPAS et 106 représentants des districts engagés dans la stratégie iCCM. Chaque participant recevra le full perdiem sur 3 jours et les organisateurs (LHSPLA, DAP, DSC, DPAS et PNLP) un full perdiem sur 13 jours. Il y aura la location d'une salle de plus de 60 places pour les sessions, des pauses café et eau minérale chaque matin et chaque soir. Il y aura le forfait transport pour les participants et des forfait carburant et péage autoroute pour les CT LHSPLA, le DC et chef de département GAS du PNLP. Des frais de transfert de fonds sont prévus.</t>
  </si>
  <si>
    <t xml:space="preserve">1.4-1.2 : Organiser une réunion bilan avec les acteurs de la partie nationale sur les approvisionnements des produits de santé communautaire  </t>
  </si>
  <si>
    <t>DSC-PS</t>
  </si>
  <si>
    <t>100% des participants sont au même niveau d'information sur les données de gestion des produits de santé communautaire  au niveau national</t>
  </si>
  <si>
    <t>Il s'agit d'une réunion d'un jour avec 30 partipants dont 25 acteurs hors NPSP. il est des forfaits transport, des pause café et la location d'une salle</t>
  </si>
  <si>
    <t xml:space="preserve">1.4-1.3 : Apporter un appui technique et financier au district sanitaire pour le suivi de la gestion des produits de santé communautaire </t>
  </si>
  <si>
    <t>93% des districts sanitaires font le suivi de la gestion des produits de santé communautaire</t>
  </si>
  <si>
    <t>Rapport de la visite</t>
  </si>
  <si>
    <t>Sur deux trimestres, 60 pharmacies de district engagées dans la stratégie iCCM (soit 15 districts sanitaire par trimestre et par bureau décentralisé) organiseront, en collaboration avec le Coordonnateur des Activités Communautaire (CAC), une visite de suivi de la gestion des produits de santé communautaire auprès de 5 ESPC. 
Les membres de l' équipe du district (Gestionnaire de pharmacie et CAC) recevront chacun une collation de 10 000FCFA, et un forfait transport de 10 000FCFA par jour et pendant 5 jours.
Dans chadque ESPC, l'Agent de Santé Superviseur (IDE ou la SFDE) et 4 ASC (ASC coach et 3 autres ASC) ,  recevront 10000 Fcfa chacun comme collation. Des frais de transferts de fonds sont également prévus. Enfin,  Les membres de l'équipe CAD participeront à certaines visites, sur la base de critères de performances, afin de s'assurer du bon déroulement de l'activité sur le terrain.</t>
  </si>
  <si>
    <t xml:space="preserve">1.4-1.4 : Faire le suivi de la disponibilité des produits de santé communautaire au niveau des districts, ESPC et des ONG locales (mSupply). </t>
  </si>
  <si>
    <t>Au moins 08 districts sanitaires sont suivis par semaine</t>
  </si>
  <si>
    <t>Taux de disponibilité des produits au niveau communautaire</t>
  </si>
  <si>
    <t>Points mensuels de districts suivis</t>
  </si>
  <si>
    <t>OO 1.5 : Soutenir le développement de procédures standardisées pour la redistribution des stocks au niveau périphérique afin d'éviter les ruptures de stock et les expirations.</t>
  </si>
  <si>
    <t>1.5-1 : Apporter un appui technique aux structures sanitaires dans la mise en oeuvre du système d'alerte précoce (SAP)</t>
  </si>
  <si>
    <t xml:space="preserve">LHSPLA renforcera les capacités (coacher, …) des acteurs sur les thématiques du système de contrôle d'inventaire et des risques liés à la gestion des stocks des produits de santé  </t>
  </si>
  <si>
    <t>1.5-1.1 : Accompagner les acteurs à l'utilisation effective du tableau de bord mSupply pour la prise de décisions.</t>
  </si>
  <si>
    <t xml:space="preserve"> 75% des districts sanitaires deployés prennent des décisions à partir du tableau de bord de mSupply</t>
  </si>
  <si>
    <t>95% des produits de santé des programmes sont disponibles à tous les niveaux de la pyramide sanitaire</t>
  </si>
  <si>
    <t xml:space="preserve">Taux de disponibilité et taux de peremptions des produits traceurs </t>
  </si>
  <si>
    <t>Prevenir les ruptures et les péremptions de produits</t>
  </si>
  <si>
    <t>Points mensuels de suivi</t>
  </si>
  <si>
    <t>OO 1.7 : Fournir un soutien technique au GoCI, en particulier à la DAP et aux programmes nationaux de santé, pour la collecte, l'analyse et la communication de données logistiques afin de soutenir la prise de décisions visant à augmenter la disponibilité des produits au point de prestation de services  cela inclut le soutien à des réunions régulières de suivi des données à différents niveaux.</t>
  </si>
  <si>
    <t>1.7-1 : Améliorer le taux de transmission des données de la file active VIH au niveau central (DIS, DAP, PNLS)</t>
  </si>
  <si>
    <t>Faciliter la collecte et la transmission des données relatives à la File Active, tout en veillant à leur qualité. 
Participer à toutes autres activités en lien avec la File Active</t>
  </si>
  <si>
    <t>1.7-1.1 : Faire le suivi de la complétude et la promptitude des données de la File Active</t>
  </si>
  <si>
    <t>95% de promptitude 
100% de complétude</t>
  </si>
  <si>
    <t>95% des données de la file active sont disponibles pour la prise de décision à tous les niveaux de la pyramide sanitaire.</t>
  </si>
  <si>
    <t>Taux de complétude des données de la file active</t>
  </si>
  <si>
    <t>Rendre disponibles les données de la file active pour la quantification des produits de santé</t>
  </si>
  <si>
    <t>1.7-1.2 : Organiser des visites d'assistance technique aux acteurs impliqués dans la production des données de la File Activte</t>
  </si>
  <si>
    <t>95% des sites détarminent leur file active</t>
  </si>
  <si>
    <t>Rapport de mission</t>
  </si>
  <si>
    <t>. Nombre de structures à visiter:  50 (25 CAD Abidjan - 25 CAD Bouake)
. Nombre de participants: 5 par bureau CAD
. Durée de la mission : 10 jours
. Fréquence: 1 trimestre
. Elements du budget:
* Full perdiem pour le staff
* Forfait collation pour les acteurs du niveau décentralisé
* carburant</t>
  </si>
  <si>
    <t>OO 1.7 : Fournir un soutien technique au GoCI, en particulier au DAP et aux programmes nationaux de santé, pour la collecte, l'analyse et la communication de données logistiques afin de soutenir la prise de décisions visant à augmenter la disponibilité des produits au point de prestation de services  cela inclut le soutien à des réunions régulières de suivi des données à différents niveaux.</t>
  </si>
  <si>
    <t>1.7-2 : Mettre en place trois Groupes Techniques de Travail (GTT) spécialisés pour l'analyse systématique, la triangulation et la valorisation des données issues des outils d'aide à la décision (OAD) et mSupply en vue d'optimiser la prise de décision dans la chaîne d'approvisionnement</t>
  </si>
  <si>
    <t>Afin d'optimiser les performances du projet LHSPLA, nous allons créer trois Groupes Techniques de Travail (GTT). Chaque GTT aura un objectif d'analyse spécifique, utilisant les données des outils d'aide à la décision (OAD) et de mSupply :
GTT 1 : Analyse de la satisfaction des commandes
Ce groupe identifiera les problèmes liés à la satisfaction client et proposera des solutions, en s'appuyant sur l'outil d'analyse des traitements de commande.
GTT 2 : Analyse des données de la File active VIH
Ce GTT analysera la completude des rapports de la File active ainsi que croisera les données épidémiologiques et logistiques pour pour s'assurer de la coherance des données VIH rapportées.
GTT 3 : Analyse des données de mSupply
Ce groupe travaillera à réduire les ruptures de stock et les péremptions, et à améliorer l'utilisation de mSupply et la cohérence des données.
Ces GTT fourniront des analyses ciblées et des recommandations pour améliorer les indicateurs clés du projet, notamment les taux de rupture et de péremption dans les régions pilotes.</t>
  </si>
  <si>
    <t>1.7-2.1 : Organiser des réunions hebdomadaires avec les membres de l'agence programme afin d'identifier les problèmes liés à la satisfaction des commandes.</t>
  </si>
  <si>
    <t>DPAS / Agence Programmes</t>
  </si>
  <si>
    <t>• Problèmes critiques identifiés et transmis aux responsables concernés
• Taux de participation aux réunions ≥ 90%</t>
  </si>
  <si>
    <t>• 3 GTT spécialisés créés, fonctionnels et se réunissant régulièrement
• Analyses systémiques des données SIGL/mSupply partagées mensuellement avec les PNS
• Taux de complétude du rapportage logistique ≥ 95% dans les structures couvertes
• Qualité des données améliorée (taux d'exactitude ≥ 85% en e-SIGL et mSupply)</t>
  </si>
  <si>
    <t>Taux de satisfaction des clients
Taux de peremption des produits
Taux de disponibilité 
Completude des données de la File active 
Taux de completude des données de mSupply
Taux de concordance des données</t>
  </si>
  <si>
    <t>Optimiser des performances du projet LHSPLA à travers l'utilisation des Outils d'Aide à la Décision (OAD)  afin de garantir une disponibilité continue des produits de santé à la NPSP et dans la région pilote (ABIDJAN 2)</t>
  </si>
  <si>
    <t>Rapport de réunions de presentation des OAD</t>
  </si>
  <si>
    <t>1.7-2.2 : Organiser des réunions mensuelle de suivi de la complétude et d'analyse de la qualité des données de la File active.</t>
  </si>
  <si>
    <t>• Tableaux de bord de complétude et de promptitude mis à jour mensuellement
• Écarts et anomalies documentés ; plans d'action correctifs transmis au PNLS
• Taux de complétude du rapportage SIGL ≥ 95% dans les sites suivis</t>
  </si>
  <si>
    <t>Compte rendus de réunions</t>
  </si>
  <si>
    <t>1.7-2.3 : Organiser des réunions mensuelles d'analyse de la qualité des données de mSupply afin d'orienter les strategies de coaching des utilisateurs.</t>
  </si>
  <si>
    <t>DIS</t>
  </si>
  <si>
    <t>• 12 réunions mensuelles d'analyse de la qualité des données mSupply organisées avec la DIS
• Rapport mensuel de synthèse des écarts de données mSupply produit
• Recommandations d'amélioration transmises au service SI pour action corrective
• Contribution à l'amélioration du taux d'exactitude des données mSupply ≥ 85%</t>
  </si>
  <si>
    <t>Compte-rendus de réunions</t>
  </si>
  <si>
    <t>1.7-3 : Déployer et opérationnaliser le Système National de Gestion des Données de la File Active (SNGD-FACT) pour automatiser la collecte, la centralisation et l'analyse des données de file active à tous les niveaux du système de santé</t>
  </si>
  <si>
    <t>Le SNGD-FACT constitue un système d'information intégré développé par LHSPLA pour optimiser la gestion des données de file active au niveau national. Cette plateforme web centralisée remplace progressivement les outils actuels fragmentés (OND, ONVD, ONC, ONA) par une solution unifiée qui automatise la collecte, le stockage, l'organisation et l'analyse des données de file active.
Fonctionnalités principales du système :
• Interface mobile/tablette pour saisie directe par les ESPC utilisant l'OND
• Module de chargement de fichiers Excel pour les sites utilisant l'ONVD
• Compilation automatique des données au niveau district (remplacement de l'ONC)
• Agrégation automatique au niveau régional (remplacement de l'ONA)
• Tableaux de bord interactifs avec indicateurs désagrégés (par régime, sexe, âge, zone géographique, etc.)
• Système d'alertes automatisées et notifications email
• Contrôles de qualité intégrés et gestion des doublons
Le déploiement suivra une approche progressive avec formation des utilisateurs, migration des données historiques, et hébergement sécurisé sur les serveurs de la Nouvelle PSP-CI.</t>
  </si>
  <si>
    <t>1.7-3.1 : Finalisation technique et préparation du déploiement</t>
  </si>
  <si>
    <t>• Plan de déploiement national du SNGFA V1 finalisé et validé
• Documentation de déploiement (guide d'installation, procédures) disponible
• Check-list de préparation au déploiement complétée</t>
  </si>
  <si>
    <t>• Données de file active centralisées en temps réel
• Capacité d'analyse décisionnelle renforcée pour tous les acteurs
• Élimination progressive des outils papier et les fichiers Excel
• Traçabilité complète des données de file active</t>
  </si>
  <si>
    <t>• Taux de formation des utilisateurs
• Taux de déploiement régional
• Taux de complétude des données
• Taux de promptitude
• Taux d'exactitude des données</t>
  </si>
  <si>
    <t>• Amélioration de la visibilité sur les données de file active nationales
• Renforcement de la précision des exercices de quantification
• Amélioration de la crédibilité des données nationales de file active</t>
  </si>
  <si>
    <t>TDRs validés</t>
  </si>
  <si>
    <t xml:space="preserve"> *Rapports de la mission
*API REST de synchronisation SNGFA documentée et validée</t>
  </si>
  <si>
    <t>1.7-3.2 : Formation des formateurs et gestionnaires centraux</t>
  </si>
  <si>
    <t>• 20 formateurs ToT formés et certifiés sur le SNGFA V1
• Modules de formation complets (supports PowerPoint, manuels formateur et participant, exercices) validés
• Rapport de formation avec liste de présence et résultats d'évaluation des acquis disponible</t>
  </si>
  <si>
    <t>Deploiement du SNGD-FACT dans 2 régions pilotes 
19 personnes ( 3  LHSPLA S/E; 7 LHSPLA/CAD; 4 DIS/PNLS; 4 PR/DS ; 1 ADMIN LHSPLA); 
0 véhicule de location ;0 Jours
Perdiem:  3 040 000 FCFA
Transport :   570 000  fr
Location de salle: 4* 100 000 fr
Location de véhicule: 0
Carburant:  85 500 fr
Pause café:  313 500 fr
Forfait repas &amp; TRANSPORT: 0 fr</t>
  </si>
  <si>
    <t>1.7-3.3 : Déploiement dans 2 régions pilotes</t>
  </si>
  <si>
    <t>• SNGFA V1 déployé et opérationnel dans les 2 régions pilotes (Bélier et Mé)
• Gestionnaires de données des 2 régions formés et autonomes
• Données de file active centralisées en temps réel dans les 2 régions pilotes
• Rapport de déploiement pilote disponible</t>
  </si>
  <si>
    <t>Rapport de déploiement</t>
  </si>
  <si>
    <t>Deploiement du SNGD-FACT dans 2 régions pilotes 
236 personnes ( 6  LHSPLA S/E CAD QAD DIS/PNLS; 205 Gestionnaires de données de la File Active ); 
2 véhicule de location ;6 Jours
Perdiem: 2 610 000 FCFA 
Collation :  2 090 000 fr
Location de salle: 0 fr
Location de véhicule: 490 000 fr x 2
Carburant:  253 615 fr
Pause café:  0 fr
Forfait repas &amp; TRANSPORT: 4 680 000 fr (234 gestionnaires et pharmaciens)</t>
  </si>
  <si>
    <t>• SNGFA V1 déployé dans les 9 régions supplémentaires (extension après pilote), soit 11 régions au total
• Utilisateurs formés dans chaque région de déploiement
• Données de file active opérationnelles dans l'ensemble des 11 régions
• Rapports de déploiement disponibles</t>
  </si>
  <si>
    <t>Deploiement du SNGD-FACT dans 31 régions prioritaires 
(Equipe de formation 1  LHSPLA; 1 PNLS; 1 DIS/DAP par region; 3074 Gestionnaires de données de la File Active ); 
9 véhicule de location ;
Perdiem:  40 470 000  FCFA
Transport :  0 FCFA
Location de salle: 0 FCFA
Location de véhicule:  36 260 000 FCFA
Carburant:   7 402 404  FCFA
Pause café + SALLE :  8 384 000 FCFA
Collation &amp; Carburant DD: 31 890 000 FCFA (3074 gestionnaires et pharmaciens)</t>
  </si>
  <si>
    <t>1.7-3.5 : Renforcer les capacités du datacenter de la nouvelle PSP pour l'hebergement de l'ensemble des OAD.</t>
  </si>
  <si>
    <t>DAF / DSI</t>
  </si>
  <si>
    <t>• Architecture d'hébergement sécurisée conçue et déployée
• Capacité d'hébergement suffisante pour l'ensemble des applications LHSPLA confirmée</t>
  </si>
  <si>
    <t>Bon de livraison</t>
  </si>
  <si>
    <t>Contribution pour l'acquisition de NAS de derniere generation (outil de stockage serveur) pour l'hebergement des OAD.</t>
  </si>
  <si>
    <t>1.7-3.6 : Heberger les Outils d'Aides à la Décision (OAD) sur le data center de la Nouvelle PSP.</t>
  </si>
  <si>
    <t>• Outils d'Aide à la Décision (OAD) migrés et hébergés sur le datacenter NPSP
• Migration de l'hébergement externe vers local réalisée avec zéro perte de données
• Tests de disponibilité, de performance et de sécurité validés</t>
  </si>
  <si>
    <t>Rapport d'hébergement</t>
  </si>
  <si>
    <t>1.7-3.7 : Organiser des supervisions formatives semestrielles des gestionnaires de données sur la File Active (VIH) à l'aide des outils digitaliser de gestion de la file active</t>
  </si>
  <si>
    <t>• 2 missions de supervision formative semestrielles organisées dans les régions déployées
• Gestionnaires de données coachés sur les techniques de vérification et triangulation des données
• Rapport de supervision avec constats et recommandations disponible après chaque mission
• Plan d'action corrective élaboré et suivi à l'issue de chaque supervision</t>
  </si>
  <si>
    <t>Coching des acteurs sur les techniques de verification et de triangulation des données
Partage d'expérience lors de la restitution</t>
  </si>
  <si>
    <t>Taux d'exactitude des données de File Active
Taux d'exactitude des données de DHIS 2
Taux de concordance des données logistique et épidemiologique</t>
  </si>
  <si>
    <t>- Amélioration de la qualité des données
 - Renforcement des capacités du personnel</t>
  </si>
  <si>
    <t>Missions de supervision formative (Carburant, Perdiem, Location de vehicule)
  - 10 participants: 
  - 14 jours de travail
  - location de vehicule 
  - Carburant 
  - Full Perdiem</t>
  </si>
  <si>
    <t xml:space="preserve">1.7-3.8 : Assurer l’assistance technique pour le déploiement et la maintenance du SNGFA V1 dans les 11 régions sanitaires cibles. </t>
  </si>
  <si>
    <t>• 20 formateurs ToT certifiés et opérationnels (ToT considérée achevée)
• Déploiement pilote réussi dans 2 régions (BELIER, AGNEBY-TIASSA)
• Extension déploiement à 9 régions avec support à distance
• Hotline support technique opérationnelle (8h-17h, lundi-vendredi)
• Documentation complète (manuels formateur, manuels participant, FAQ, guides)</t>
  </si>
  <si>
    <t>• SNGFA V1 déployé et opérationnel dans 11 régions sanitaires
• Données de file active centralisées en temps réel dans toutes les régions cibles
• Taux d'adoption ≥ 80% dans les structures sanitaires des 11 régions
• Support technique opérationnel avec temps de réponse ≤ 48h
• Élimination progressive des outils Excel au profit du SNGFA</t>
  </si>
  <si>
    <t>• Taux de formation des utilisateurs (cible : 100% formateurs ToT)
• Taux de déploiement régional (cible : 11/11 régions)
• Taux de complétude des données saisies dans le SNGFA
• Taux de promptitude des rapports régionaux
• Taux de résolution au premier contact du support (cible : ≥ 70%)</t>
  </si>
  <si>
    <t>• Amélioration de la visibilité sur les données de file active nationales
• Renforcement de la précision des exercices de quantification
• Amélioration de la crédibilité des données nationales de file active
• Digitalisation de la gestion de la file active VIH dans 11 régions</t>
  </si>
  <si>
    <t>• Guide de déploiement régional (méthodologie, check-lists)
• Rapports de déploiement régions pilotes (BELIER + AGNEBY-TIASSA)
• Rapport consolidé déploiement 9 régions en extension
• Base de données utilisateurs formés
• FAQ dynamique SNGFA (mise à jour mensuelle)
• Rapports mensuels de support technique
• Rapport final de clôture LOT 1</t>
  </si>
  <si>
    <t>Couverture du coût d'assistance de Bluesquare lors du deploiement du SNGFA</t>
  </si>
  <si>
    <t>1.7-3.9 : Assurer la convergence des données ONVD-Plus / SNGFA par le développement d'une interface de synchronisation (API).</t>
  </si>
  <si>
    <t>• Endpoint 1 (/auth/login) : Authentification JWT sécurisée opérationnelle
• Endpoint 2 (/centers/info) : Récupération métadonnées centre fonctionnelle
• Endpoint 3 (/dispensations/sync) : Synchronisation dispensations consensuelles (500+ dispensations/requête)
• Endpoint 4 (/dispensations/history) : Consultation historique avec pagination fonctionnelle
• Gestion des doublons : rejet automatique des dispensations déjà synchronisées
• Temps de réponse &lt; 2 secondes pour 95% des requêtes</t>
  </si>
  <si>
    <t>• API REST SNGFA fonctionnelle avec 4 endpoints opérationnels et déployés
• Synchronisation temps réel entre ONVD-Plus et SNGFA dans les structures à services séparés
• Tests d'intégration avec ONVD-Plus concluants (7 scénarios validés)
• Documentation technique complète (OpenAPI/Swagger) accessible
• Couverture de tests automatisés &gt; 80%</t>
  </si>
  <si>
    <t>• Disponibilité API ≥ 99% (&lt; 7h d'indisponibilité/mois)
• Temps de réponse ≤ 2 secondes (95% des requêtes)
• 4/4 endpoints développés et validés
• Couverture tests automatisés ≥ 80%
• Synchronisation de 500+ dispensations en une seule requête
• 0 vulnérabilité critique OWASP Top 10</t>
  </si>
  <si>
    <t>• Synchronisation automatique des données entre ONVD-Plus et SNGFA (élimination des exports/imports manuels Excel)
• Réduction des erreurs de transfert et amélioration de la cohérence des données de file active
• Gain de temps pour les équipes des structures sanitaires utilisant ONVD-Plus
• Traçabilité complète des échanges de données via journalisation (audit trail)</t>
  </si>
  <si>
    <t>• API REST SNGFA déployée (4 endpoints opérationnels)
• Codes sources complets avec commentaires (dépôt Git NPSP-CI)
• Documentation OpenAPI/Swagger complète et interactive
• Manuel d'installation et configuration (équipe SI NPSP-CI)
• Manuel d'utilisation développeurs (exemples curl, Python, JavaScript)
• Suite de tests automatisés (couverture &gt; 80%)
• Rapport de tests (unitaires, intégration, charge, sécurité OWASP)
• Rapport de tests d'intégration avec ONVD-Plus
• Procès-verbal de recette LOT 2 signé</t>
  </si>
  <si>
    <t>1.7-3.10 : Garantir l’intégrité du déploiement de l'application ONVD-Plus Windows via l'obtention d'un certificat de signature de niveau EV.</t>
  </si>
  <si>
    <t>DLHSPLA</t>
  </si>
  <si>
    <t>• Certificat de signature numérique de l'application ONVD-Plus Windows obtenu auprès d'une autorité de certification reconnue
• Version de production (Build) de l'application ONVD-Plus finalisée, signée et validée
• Application distribuée de manière sécurisée dans les structures de déploiement</t>
  </si>
  <si>
    <t>Couverture des frais du certificats de signature de code à validation étendue (EV)</t>
  </si>
  <si>
    <t>1.7-3.11 : Finalisation technique, signature numérique et génération de la version de production (Build) de l'application ONVD-Plus</t>
  </si>
  <si>
    <t>• Version de production finale de l'application ONVD-Plus (Windows) certifiée et signée numériquement
• Build de production testé et validé avec zéro anomalie critique
• Notes de version (release notes) et documentation technique disponibles
• Application prête pour déploiement sécurisé à grande échelle</t>
  </si>
  <si>
    <t>1.7-4 : Fournir un appuis technique et financier à la DAP dans la gestion de la Performance de la chaine d’approvisionnement</t>
  </si>
  <si>
    <t>Afin d'assurer un suivi ciblé de la disponibilité des produits, une liste nationale des produits traceurs est définie chaque année. Les produits traceurs sont des éléments dont la rupture entraînerait directement l'interruption de services ou d'activités essentiels. La mise à jour annuelle de cette liste est conduite sous l’égide de la DAP, en concertation avec l’ensemble des acteurs du système de santé.
La DAP sollicite l’appui technique et financier du projet LHSPLA pour organiser cette activité.</t>
  </si>
  <si>
    <t>1.7-4.1 : Organiser un atelier de revision de la liste des produits traceurs Edition 2026</t>
  </si>
  <si>
    <t>la liste des produits traceurs 2026 est révisée et disponible</t>
  </si>
  <si>
    <t>La liste de produits traceurs validées
Le rapport de performance de la CA 2020-2024 est disponible 
Le bulletin de performance est diffusé</t>
  </si>
  <si>
    <t>1 liste de produits traceur
1 rapport d'atelier</t>
  </si>
  <si>
    <t xml:space="preserve">*liste de produits traceurs 2026
*rapport de performance 2020-2025 </t>
  </si>
  <si>
    <t>support and Assistance</t>
  </si>
  <si>
    <t>Atelier (Location de salle, Pause-café, Pause déjeuner, Transport)
  - 36 participants
  - 4 jours de travail</t>
  </si>
  <si>
    <t>1.7-4.2 : Organiser un atelier de rédaction du Rapport de performance de la CA des produits de santé 2025</t>
  </si>
  <si>
    <t>Les performances de la chaine d'approvisionnement sont connues et diffusées</t>
  </si>
  <si>
    <t>Un rapport de performance 2020-2025 
1 rapports d'atelier</t>
  </si>
  <si>
    <t>1 ateliers (Carburant, Perdiem, Location de salle, Pause-café, Transport)
  - 34 participants:Ateliers
  - 5 jours de travail
  - Frais d'hotel  2 894 290 FCFA
  - Carburant :  99 760 FCFA
  - Frais de transport :  680 000 FCFA
  - Perdiem : 7 520 000 FCFA
  - Répas &amp; transport residant :  128 000 FCFA</t>
  </si>
  <si>
    <t xml:space="preserve">1.7-5 : Fournir un appui au programme de santé (PNLS, PNLP, PNSME)  pour le traitement et l'analyse des données necessaires à l'estimation des besoins en produits  de santé </t>
  </si>
  <si>
    <t>Cette activité vise à renforcer les capacités des programmes nationaux de santé (PNLS, PNLP, PNSME) en matière de traitement et d'analyse des données, afin d'améliorer la précision des estimations des besoins en produits de santé. Elle sera réalisée en étroite collaboration avec les équipes en charge des données au sein de ces programmes.</t>
  </si>
  <si>
    <t>1.7-5.1 : Organiser deux ateliers de traitement et d'analyse des données nécessaires à la quantification ARV/IO -TPT et produits de laboratoire liés au VIH</t>
  </si>
  <si>
    <t>• 2 ateliers de traitement et d'analyse des données pour la quantification organisés
• Bases de données de quantification avec au moins 95% de complétude disponibles
• Rapport d'atelier avec résultats d'analyse et plans d'approvisionnement disponible</t>
  </si>
  <si>
    <t>Les données logistiques  des programmes PNLS, PNSME et PNLP sont traitées et disponibles avec 95% de taux de completude</t>
  </si>
  <si>
    <t>Taux de completude des données
Taux de concordance des données
Taux de précision de la quantification</t>
  </si>
  <si>
    <t>Cette activité permettra d'harmoniser et de consolider les données logistiques. Elle vise à améliorer la précision des exercices de quantification</t>
  </si>
  <si>
    <t>2 rapports d'ateliers</t>
  </si>
  <si>
    <t>2 rapports d'atéliers</t>
  </si>
  <si>
    <t>1 Ateliers  (Carburant, Perdiem, Transport)
  - 7 participants
  - 5 jours de travail</t>
  </si>
  <si>
    <t>1.7-6 : Fournir une assistance technique au programme de lutte contre le Paludisme (PNLP) pour l'organisation des activités EUV 2025</t>
  </si>
  <si>
    <t>L'enquête sur la vérification de l'utilisation finale des dproduits de lutte contre le paludisme a pour but de soutenir le suivi de la disponibilité et de l'utilisation des principaux produits antipaludiques dans les structures sanitaires et d'assurer que les recommandation de l'EUV effectivement mise en oeuvre, Elle est réalisé annuellement avec le PNLP, les gestionnaires des districts et régions</t>
  </si>
  <si>
    <t>1.7-6.1 : Organiser un atelier de formation pour les enquêteurs EUV</t>
  </si>
  <si>
    <t>• 1 atelier de formation des enquêteurs EUV organisé
• Enquêteurs formés sur les protocoles, outils de collecte et procédures EUV
• Rapport de formation avec liste de présence et évaluation des acquis disponible</t>
  </si>
  <si>
    <t xml:space="preserve">
L'enquête sur l'utilisation finale des produits antipaludiques vise à renforcer la lutte contre le paludisme en évaluant la disponibilité, l'utilisation et la gestion des traitements. Elle permettra d'identifier les forces et les faiblesses du système, d'évaluer les progrès réalisés et d'améliorer la disponibilité des produits PNLP</t>
  </si>
  <si>
    <t>taux de rupture de stock</t>
  </si>
  <si>
    <t>Atteindre un taux de rupture des produits de santé à moins de 5%</t>
  </si>
  <si>
    <t>1 rapport de formation</t>
  </si>
  <si>
    <t>Rapport de formation des enquêteurs
Rapportsde l'EUV 2025
Rapport de la mission de suivi de recommandations</t>
  </si>
  <si>
    <t>training</t>
  </si>
  <si>
    <t xml:space="preserve">1 atelier de 50 personnes
6 jours de travail/atelier
Pause café 
CARBURANT 
Transport
Full Perdiem 
eau minérale  
Location de salle </t>
  </si>
  <si>
    <t>1.7-6.2 : Organiser la collecte des données de l'enquête EUV</t>
  </si>
  <si>
    <t>• Collecte de données EUV réalisée selon le protocole méthodologique validé
• Données collectées dans l'échantillon défini de structures sanitaires
• Base de données EUV nettoyée, validée et disponible pour l'analyse
• Taux de couverture de la collecte ≥ 95% de l'échantillon prévu</t>
  </si>
  <si>
    <t>1 rapport de collecte</t>
  </si>
  <si>
    <t xml:space="preserve">1 mission de 50 personnes
20 jours de travail 
CARBURANT 
Collation
Full perdiem
 </t>
  </si>
  <si>
    <t>1.7-6.3 : Organiser un atelier de rédaction des rapports des résultats de l'enquête EUV.</t>
  </si>
  <si>
    <t>• 1 atelier de rédaction du rapport EUV organisé avec les équipes PNLP et LHSPLA
• Rapport provisoire des résultats EUV produit et soumis à validation technique
• Rapport final EUV disponible et transmis aux parties prenantes (PNLP, PEPFAR/PMI)
• Présentation PowerPoint des principaux résultats préparée</t>
  </si>
  <si>
    <t>1 rapport d'atelier
1 rapport EUV</t>
  </si>
  <si>
    <t xml:space="preserve">1 atelier de 20 personnes
6 jours de travail/atelier
Pause café 
CARBURANT 
Transport
Full Perdiem 
eau minérale  
Location de salle </t>
  </si>
  <si>
    <t>1.7-6.4 : Organiser un atelier de restitution des résultats de l'enquête EUV.</t>
  </si>
  <si>
    <t>• 1 atelier de restitution des résultats EUV organisé avec les parties prenantes
• Résultats partagés, discutés et validés par le PNLP, la DAP et le Ministère de la Santé
• Plan d'action issu des recommandations de l'EUV élaboré et adopté</t>
  </si>
  <si>
    <t>1 rapport de restitution</t>
  </si>
  <si>
    <t xml:space="preserve">1 atelier de 40 personnes
1 jours de travail/atelier
Pause café
CARBURANT 
Full perdiem pour les hors Abidjan 
Communication
Collation
fournitures de bureau
eau minérale 
Location de salle </t>
  </si>
  <si>
    <t>L'enquête sur la vérification de l'utilisation finale des produits de lutte contre le paludisme a pour but de soutenir le suivi de la disponibilité et de l'utilisation des principaux produits antipaludiques dans les structures sanitaires et d'assurer que les recommandation de l'EUV effectivement mise en oeuvre, Elle est réalisé annuellement avec le PNLP, les gestionnaires des districts et régions</t>
  </si>
  <si>
    <t>1.7-6.5 : apporter un appui à la mise en oeuvre  des recommandations de l'EUV.</t>
  </si>
  <si>
    <t>• Suivi de la mise en œuvre des recommandations prioritaires de l'EUV assuré
• Au moins 80% des recommandations prioritaires intégrées dans les plans d'action PNLP
• Tableau de bord de suivi des recommandations EUV mis à jour
• Rapport de suivi de l'implémentation des recommandations disponible</t>
  </si>
  <si>
    <t xml:space="preserve">1 mission de 19 personnes
12 jours de terrain 
CARBURANT 
Full perdiem
+
1 atelier de 16 personnes
5 jours de travail/atelier
Pause café  
CARBURANT 
Full perdiem 
eau minérale   
Location de salle </t>
  </si>
  <si>
    <t>1.7-7 : Apporter un appui technique et financier à la Nouvelle PSP-CI pour la réalisation de deux (2) ateliers trimestriels de rétro-information</t>
  </si>
  <si>
    <t>Organiser des ateliers de rétro-information pour évaluer les performances, analyser les données logistiques et améliorer les processus de gestion des produits de santé, en collaboration avec les principales parties prenantes de la chaîne d'approvisionnement.</t>
  </si>
  <si>
    <t>1.7-7.1 : Organiser trois (03) ateliers de retro information.</t>
  </si>
  <si>
    <t>- 1 ateliers organisés.
 - 40 participants.
 - Rapport d'évaluation post-ateliers.</t>
  </si>
  <si>
    <t>Taux d'exactitude des données</t>
  </si>
  <si>
    <t>Amélioration de la qualité des données du SIGL</t>
  </si>
  <si>
    <t>Rapports de retro-information des programmes nationaux de santé</t>
  </si>
  <si>
    <t>2 ateliers trimestriels de redaction des rapports de rétro-information :
 - 44 participants
 - 5 jours de travail
 - Pause café, transport, location de salle, perdiem.</t>
  </si>
  <si>
    <t>1.7-8 : Fournir une assistance technique par appel téléphonique  aux gestionnaires des établissements de santé sur l'utilisation des outils de suivi et évaluation.</t>
  </si>
  <si>
    <t>Le volume de communication mis à la disposition de l'équipe SE leur permettra d'appeler les managers pour leur rappeler la nécessité de remettre les rapports mensuels à temps. Ils serviront également à former et sensibiliser les utilisateurs à la bonne utilisation des outils d'aide à la décision.</t>
  </si>
  <si>
    <t>1.7-8.1 : Fournir une assistance technique par appels 
téléphonique aux gestionnaires des établissements de 
santé sur l'utilisation des outils de suivi et évaluation</t>
  </si>
  <si>
    <t>90% des besoins en coaching téléphoniques comblés, pour une utilisation adaquate des outils</t>
  </si>
  <si>
    <t>Taux de completude des données</t>
  </si>
  <si>
    <t>Améliorer la rapidité et l’exhaustivité des transmissions des outils/rapports nationaux et leur utilisation correcte pour une prise de décision éclairée.</t>
  </si>
  <si>
    <t>Point trimestriel</t>
  </si>
  <si>
    <t>COMMUNICATION ( 4 PERS x 25000 x 12mois)</t>
  </si>
  <si>
    <t>1.7-9 : Organiser la rédaction à temps des rapports programmatiques du projet</t>
  </si>
  <si>
    <t>Il s'agira de rédiger en collaboration avec les equipes du projet les rapports programmatiques du projet tels que:
- Rapports trimestriels
- Rapports Hebdomadaires (DG &amp; USAID)
- Rapport annuel</t>
  </si>
  <si>
    <t>1.7-9.1 : Rédiger les rapports programmatiques
- Rapports trimestriels d'activité
- Rapports Hebdomadaires (DG &amp; DoS)
- Rapport annuel</t>
  </si>
  <si>
    <t>- 4 Rapports trimestriels
- 48 Rapports Hebdomadaires (DG &amp; PEPFAR)
- 1 Rapport annuel</t>
  </si>
  <si>
    <t>Rapport d'analyse des ruptures de stock au niveau péripherique</t>
  </si>
  <si>
    <t>Taux de promptitude des rapports</t>
  </si>
  <si>
    <t>*La visibilité sur les activités du projet
*Information sur les causes profondes des ruptures de stock au niveau périphérique</t>
  </si>
  <si>
    <t>- 4 Rapports trimestriels
- 48 Rapports Hebdomadaires (DG &amp; PEPFAR)
- 1 Rapport annuel
- Rapport d'analyse des ruptures</t>
  </si>
  <si>
    <t>Il s'agira d'analyser, en collaboration avec les acteurs terains du projet, les données stock en vue de rechercher les causes des ruptures de stock au niveau périphérique, et de rédiger le rapport d'analyse.</t>
  </si>
  <si>
    <t>1.7-9.2 : Produire trimestriellement un rapport d'analyse des causes profondes des ruptures de stock au niveau peripherique</t>
  </si>
  <si>
    <t>1.7-9.3 : Réviser le temples des rapports programmatique</t>
  </si>
  <si>
    <t>Réviser chacun des rapprts programatiques (Hebdomadaire, Trimestriel, Annuel, etc), afin de l'adapte aux besoins d'informations des parties prenantes</t>
  </si>
  <si>
    <t>Nombre de rapport révisés</t>
  </si>
  <si>
    <t>Rapports révisés</t>
  </si>
  <si>
    <t>1.7-11 : Apporter un appui technique et financier pour la mise en place un système robuste d'assurance qualité des données du SIGL</t>
  </si>
  <si>
    <t>Cette activité vise à renforcer la qualité des données du Système d'Information de Gestion Logistique (SIGL). Elle comprend : 
  - la mise en place d'un système de contrôle qualité,
  - des évaluations régulières de la qualité des données,
  - le développement d'un plan d'amélioration continue,
  - coaching des sites à problème,
  - l'établissement d'un système de validation à plusieurs niveaux,
  - la mise en place d'un système d'incitation à la qualité et 
  Ces actions visent à améliorer significativement la précision et la fiabilité des données pour une meilleure prise de décision dans la gestion de la chaîne d'approvisionnement.</t>
  </si>
  <si>
    <t>1.7-11.1 : Réaliser une mission d'évaluation de la qualité des données de Esigl et mSupply (RDQA)</t>
  </si>
  <si>
    <t>- Evaluation comparée de la qualité des données disponibles dans les outils e-SIGL et mSupply</t>
  </si>
  <si>
    <t>Evaluation comparée de la qualité des données disponibles dans les outils e-SIGL et mSupply
6 licences acquises et fonctionnelles</t>
  </si>
  <si>
    <t>Taux d'exactitude des données de e-SIGL
Taux d'exactitude des données de mSUPPLY</t>
  </si>
  <si>
    <t>* Amélioration de la qualité des données
*  visualisation en temps réel des données logistiques de Sage X3, eSIGL, et eventuellement mSupply
* Renforcement des capacités du personnel</t>
  </si>
  <si>
    <t>Protocole de l'évaluation
Rapport de la mission d'évaluation</t>
  </si>
  <si>
    <t>- Rapport d'évaluation initiale
 - Document de protocole standardisé de vérification de la qualité des données
  - Rapport d'évaluation RDQA annuel
  - Rapports des sessions de formation (4 par an)</t>
  </si>
  <si>
    <t>Atelier de briefing (1 jours à Abidjan)
- Pause café &amp; transport participants (estimation : 900 000 FCFA)
Collecte des données sur le terrain (14 jours)
- Perdiems (estimation : 8 820 000 FCFA)
-Taux journalier estimé à 40 000 FCFA par personne
- Transport et carburant (estimation : 2 940 000 FCFA)
- Fournitures et communication (estimation : 350 000 FCFA)
Atelier de rédaction du rapport (5 jours à Yamoussoukro)
- Frais d'hôtel (estimation : 2 500 000 FCFA)
- Perdiems et transport (estimation : 6 000 000 FCFA)
- Supervision (estimation : 1 500 000 FCFA)- Frais de transfert et imprévus (estimation : 300 000 FCFA)
- Budget TOTAL estimé : 30 000 000 FCFA</t>
  </si>
  <si>
    <t>1.7-11.2 : Acquérir les licences de Tableau Edition Enterprise</t>
  </si>
  <si>
    <t>6 licences acquises et fonctionnelles</t>
  </si>
  <si>
    <t>6 licences disponibles :
- 2 licences Tableau Creator
- 1 licence Tableau Explorer
- 3 licences Tableau Viewer</t>
  </si>
  <si>
    <t>6 licences à acquerir selon les niveaux d'intervention :
- 2 licences Tableau Creator pour les analystes DPAS
- 1 licence Tableau Explorer pour le responsable S&amp;E
- 3 licences Tableau Viewer dont 
        - 1 pour la CAACPS, 
        - 1 pour le projet LHSPLA 
        - 1 pour les autres acteurs de la chaine d'approvisionnement.</t>
  </si>
  <si>
    <t>1.7-12 : Apporter un appui au PNSME pour la réalisation de l'Évaluation diagnostique de la gestion des produits de santé maternelle et infantile et identification des sites éligibles pour l'introduction de la Carbétocine</t>
  </si>
  <si>
    <t xml:space="preserve">Cette mission consiste à amener une visite de collecte de données en vue de :
1. Évaluer la gestion actuelle des produits de santé maternelle et infantile dans les structures sanitaires
2. Identifier les gaps, défis et besoins en matière de gestion des produits MCH (stockage, distribution, utilisation, rapportage)
3. Cartographier les sites éligibles pour l'introduction de la Carbétocine en fonction des capacités de chaîne de froid
4. Proposer des solutions d'amélioration et des recommandations opérationnelles pour optimiser la gestion des produits MCH avant l'arrivée des premières commandes acquises sur le finance du gouvernement Américain </t>
  </si>
  <si>
    <t>1.7-12.1 : Organiser en collaboration avec le programme  un GTT de préparation de la mission (échantillonage, calendrier, circuit de collecte, plan d'analyse  et du canevas de rapport de la mission.)</t>
  </si>
  <si>
    <t xml:space="preserve">•	L’inventaire physique des médicaments et ILP le jour de la visite est réalisé ; 
•	L’inventaire des documents de gestion vierges est effectué ; 
•	Les documents de gestion des médicaments et ILP sur l’année 2022 sont vérifiés ; 
•	Les livraisons de la Nouvelle PSP vers les clients directs et des Districts sanitaires vers leurs ESPC sont correctement retracées ; 
•	Les transferts sortants sont correctement retracés ; 
•	La gestion des stocks est évaluée ; 
•	La corrélation entre les données logistiques et les données épidémiologiques (nombre de cas suspects…) sur une période établie est faite ; 
•	Le coaching sur site des acteurs impliqués dans la gestion des médicaments est effectué ; 
•	Un plan de redéploiement pour les intrants en surstockage est élaboré ; 
•	Un plan de résolution des problèmes est établi ; 
•	La restitution aux Responsables de structure est effectuée. 
</t>
  </si>
  <si>
    <t>- Taux de disponibilité des produits
- Taux de produit phamaceutique inutilisable
- Taux de satisfaction
- Taux d'éxactitude des données</t>
  </si>
  <si>
    <t>Amelioration de la gestion (stockage, utilisation, etc.) des produits de la santé de la mère et de l'enfant.</t>
  </si>
  <si>
    <t>- Liste des sites identifiés
- Circuit de collecte
-Plan d'analyse des données
- Canevas de rapport de la mission.</t>
  </si>
  <si>
    <t>Sans Budget</t>
  </si>
  <si>
    <t>1.7-12.2 :Developpement de l'outil de collecte des données</t>
  </si>
  <si>
    <t>Version v1.0 de l'outil de collecte</t>
  </si>
  <si>
    <t>1.7-12.3 :Organiser la phase test de l'outil, la restitution et la finalisation de l'outil de collecte.</t>
  </si>
  <si>
    <t>- Rapport de la phase test
- Version finale de l'outil de collecte</t>
  </si>
  <si>
    <t>1.7-12.4 :Organiser la formation des équipes de collecte de données.</t>
  </si>
  <si>
    <t>Rapport de la formation des équipes de collecte</t>
  </si>
  <si>
    <t>1.7-12.5 :Organiser la mission de collecte des données dans les structure identifiées.</t>
  </si>
  <si>
    <t xml:space="preserve">- Outil de collecte renseigné
- Rapport de collecte par équipe
</t>
  </si>
  <si>
    <t xml:space="preserve">1 mission de collecte de 52 personnes
14 jours de travail 
CARBURANT 
Full perdiem </t>
  </si>
  <si>
    <t>1.7-12.6 :Organiser le traitement et la redaction du rapport de la mission.</t>
  </si>
  <si>
    <t>Rapport final de la mission d'évaluation</t>
  </si>
  <si>
    <t>1.7-12.7 :Organiser un atelier de restitution des resultats de la mission aux parties prenantes.</t>
  </si>
  <si>
    <t>Rapport de l'atelier de restitution.</t>
  </si>
  <si>
    <t>1.7-12.8 :Organiser une mission de renforcement de capacité dans les établissement sanitaires à faibles performances</t>
  </si>
  <si>
    <t>Rapport de la mission de suivi des recommandations</t>
  </si>
  <si>
    <t>1.7-13 : Conduire une étude analytique et causale sur les déterminants des ruptures de stock dans la chaîne nationale d'approvisionnement en produits de santé,  de l'amont fournisseurs jusqu'aux ESPC</t>
  </si>
  <si>
    <t>Malgré des niveaux de stock nationaux globalement satisfaisants à certaines périodes, des ruptures de stock persistent régulièrement au niveau des structures sanitaires. Cette étude analytique vise à identifier, classifier et pondérer les déterminants de ces ruptures sur l'ensemble de la chaîne d'approvisionnement — depuis le plan d'approvisionnement (amont) jusqu'aux ESPC (aval), en passant par les processus internes de la NPSP (traitement des commandes, distribution).
L'étude intégrera une analyse amont couvrant : (i) le respect des plans d'approvisionnement (délais, quantités, produits), (ii) les délais de traitement douanier et d'enlèvement, (iii) le respect des plans d'allocation, et (iv) les délais de traitement des commandes au niveau NPSP. Cette approche permettra d'imputer objectivement chaque rupture à son niveau de responsabilité réel et de produire des recommandations ciblées et actionnables par niveau de la chaîne.
Sources de données mobilisées : e-SIGL (rapports-commandes, transactions), mSupply (niveaux de stocks, consommations historiques), SAGE X3 (commandes, livraisons, délais de traitement), Rapports de missions terrain, Les plans d'allocation (délai d'exécution), QAT (plan d'approvionnement).</t>
  </si>
  <si>
    <t>1.7-13.1 : Élaborer le protocole méthodologique et les outils de collecte et d'analyse de données de l'étude</t>
  </si>
  <si>
    <t>• 1 rapport analytique final intégré produit, synthétisant les analyses des 3 niveaux (amont, NPSP, périphérie).
• 1 note de politique produite, avec recommandations ciblées et actionnables par niveau de la chaîne.
• Atelier de validation organisé (≥ 20 participants : LHSPLA, DAP, programmes nationaux, PEPFAR/GHSD).
• Résultats validés et approuvés par la Direction et PEPFAR.
• Présentation PPT de dissémination produite et partagée.
• Plan d'action correctif S2 FY27 orienté par les résultats de l'étude.</t>
  </si>
  <si>
    <t>• Les déterminants des ruptures de stock sont identifiés, pondérés et classifiés pour chaque maillon de la chaîne nationale.
• La part de responsabilité respective de chaque acteur (fournisseurs, NPSP, districts, ESPC) est objectivement quantifiée sur 12 mois de données.
• Des districts performants et en difficulté sont comparés pour identifier les facteurs différenciateurs.
• Au moins 1 rapport analytique final + 1 note de politique orientant les décisions du S2 FY27 sont produits et diffusés.</t>
  </si>
  <si>
    <t>• Amélioration de la prise de décision fondée sur les données probantes pour LHSPLA, NPSP-CI, DAP et programmes nationaux.
• Réduction des ruptures de stock par identification et correction ciblée des causes profondes à chaque niveau.
• Renforcement de la culture de responsabilité partagée et transparente entre tous les acteurs de la chaîne.
• Production d'une base de référence analytique pour les décisions de priorisation budgétaire S2 FY27 et au-delà.</t>
  </si>
  <si>
    <t>Protocole méthodologique de l'étude
(incluant : questions de recherche, périmètre, sources de données, grilles d'analyse, tableau de bord de saisie, plan de travail détaillé)</t>
  </si>
  <si>
    <t>• Protocole méthodologique de l'étude
• Bases de données analytiques consolidées
• Rapport d'analyse amont (fournisseurs)
• Rapport d'analyse midstream (NPSP)
• Rapport d'analyse aval (périphérie)
• Rapport analytique final intégré
• Note de politique pour S2 FY27
• Présentation PPT pour PEPFAR/Direction</t>
  </si>
  <si>
    <t>1.7-13.2 : Collecter, consolider et préparer les données multi-sources nécessaires à l'étude (e-SIGL, mSupply, SAGE X3, QAT, Rapports missions)</t>
  </si>
  <si>
    <t>Rapport de collecte et préparation des données
(incluant : journal de collecte, log de nettoyage, base de données consolidée, note sur les limites des données)</t>
  </si>
  <si>
    <t>- 5 districts
-5 sites (Phcie District, Hopital de référence, 3 ESPC)
- 1 jour par site
- 2 personnes par équipe
- Location de 5 vehicules pour 7 jours
Coût d'estimation: 8 500 000 FCFA</t>
  </si>
  <si>
    <t>1.7-13.3 : Analyse et synthèse des données collectées et redaction du rapport final</t>
  </si>
  <si>
    <t>Rapport d'analyse amont :
Performance des fournisseurs et conformité au plan d'approvisionnement NPSP
(tableaux de bord, graphiques, classification des défaillances)</t>
  </si>
  <si>
    <t xml:space="preserve">Sans budjet
</t>
  </si>
  <si>
    <t>1.7-13.4 : Organiser l'atelier de restitution des résultats auprès des parties prenantes</t>
  </si>
  <si>
    <t>• Rapport analytique final (FR + ENG summary)
• Note de politique pour les décisions S2 FY27
• Présentation PPT pour la Direction et PEPFAR
• PV de l'atelier de validation
• Plan d'action correctif S2 FY27</t>
  </si>
  <si>
    <t>• Atelier de validation et dissémination :
  – 1/2 journée × ≥20 participants
  – Salle de conférence, pauses-café, déjeuner
  – Per diem participants externes (DAP, programmes, PEPFAR)
  – Transport/carburant (DR + DD)
coût estimé: 3 000 000 FCFA</t>
  </si>
  <si>
    <t>1.7-14.1 : Développer et déployer l'outil d’automatisation de l’élaboration budgétaire pour les Termes de Référence (TDR)</t>
  </si>
  <si>
    <t>Développer et déployer l'outil d’automatisation de l’élaboration budgétaire pour les Termes de Référence (TDR)</t>
  </si>
  <si>
    <t>Outil de budgétisation des TDR validé et prêt pour l'exploitation en routine par les équipes projet</t>
  </si>
  <si>
    <t>• Standardisation des processus : Uniformiser les méthodes d’élaboration budgétaire pour garantir une cohérence entre toutes les activités du projet.
• Fiabilisation des données financières : Éliminer les risques d’erreurs de calcul et sécuriser les consolidations budgétaires grâce à l’automatisation.
• Optimisation du pilotage : Faciliter le suivi opérationnel et administratif des Termes de Référence (TDR) pour une meilleure réactivité dans la gestion des missions.</t>
  </si>
  <si>
    <t>OO 1.8 : Appuyer le GOCI dans la formation, l'encadrement et la supervision des pharmaciens régionaux et de district et des préparateurs en pharmacie (PGP) sur les procédures de gestion de la chaîne d'approvisionnement : gestion des inventaires et des stocks, gestion des commandes, réception des commandes, distribution aux établissements de santé et gestion des produits périmés.</t>
  </si>
  <si>
    <t>1.8-2 : Organiser des sessions de formation des acteurs de la chaine d'approvisionnement</t>
  </si>
  <si>
    <t>LHSPLA va renforcer les capacités des acteurs de la chaîne d'approvisionnement en gestion logistique et à la supervision</t>
  </si>
  <si>
    <t>1.8-2.1 : Organiser des sessions de formation des acteurs de la chaîne d'approvisionnement / Organize training sessions for supply chain actors</t>
  </si>
  <si>
    <t>75 acteurs formés à la gestion logistique et à la supervision / 50 actors trained in logistics management and supervision</t>
  </si>
  <si>
    <t>100% des acteurs formés ont leurs capacités renforcées</t>
  </si>
  <si>
    <t>Proportion des acteurs identifiés ayant eu leur capacité renforcée</t>
  </si>
  <si>
    <t>Renforcement des capacités des acteurs</t>
  </si>
  <si>
    <t>Il s'agit d'organiser 1 session de formation de 17 gestionnaires de sites clients directs avec 4 formateurs et 1 assistante administrative par session.                                                                                                                                                      : Il y aura des forfaits transport pour les participants, des full perdiems sur 6 jours par participants et des honoraires de formateur sur 5 jours par session. Il est prévu des frais de transfert de fonds.</t>
  </si>
  <si>
    <t>1.8-3 : Appuyer les gestionnaires des structures sanitaires publiques dans le cadre de l'amélioration de la gestion des produits de santé</t>
  </si>
  <si>
    <t>Il s'agit d'améliorer les compétences du pool de formateurs pour des formations et des coachings de qualité faites à l'endroit des gestionnaires des structures sanitaires publiques</t>
  </si>
  <si>
    <t>1.8-3.1 : Appuyer les gestionnaires des structures sanitaires publiques dans le cadre de l'amélioration de la gestion des produits de santé</t>
  </si>
  <si>
    <t>23 participants formés et qualifiés</t>
  </si>
  <si>
    <t>*Taux de formateurs qualifiés</t>
  </si>
  <si>
    <t>*Actualisation du viviers de formateurs
*Amélioration de la formation / coaching dispensé aux gestionnaires de pharmacie des stuctures sanitaires publiques</t>
  </si>
  <si>
    <t>*Rapport de l'atelier de formation
*Liste des formateurs certifiés</t>
  </si>
  <si>
    <t>Rapport de l'atelier de formation</t>
  </si>
  <si>
    <t>2 Ateliers hors Abidjan
23 formateurs qualifiés / frais de salle / pause café / full perdiems / carburant / transport / frais de transfert de fonds</t>
  </si>
  <si>
    <t>OO 1.9 : Soutenir le GOCI pour d'autres sollicitations techniques.</t>
  </si>
  <si>
    <t>1.9-1 : Participations à d'autres sollicitations et internationales</t>
  </si>
  <si>
    <t>Il s'agit de la participation du PM à d'autres sollicitations, d'autres invitations, en dehors du plan en cours.</t>
  </si>
  <si>
    <t>1.9-1.1 : Participer aux sollicitations nationales et internationales</t>
  </si>
  <si>
    <t>PM</t>
  </si>
  <si>
    <t>Partage d'expérience et visibilité du projet.</t>
  </si>
  <si>
    <t>Compte-rendu des rencontres</t>
  </si>
  <si>
    <t>Participer à des invitations d'autres partenaires non planifiées dans le budget</t>
  </si>
  <si>
    <t xml:space="preserve">OO 1.10 : Soutenir la mise à jour trimestrielle des plans d'approvisionnement dans  (QAT) </t>
  </si>
  <si>
    <t>1.10-1 : Apporter un appui technique aux réunions mensuelles de suivi de stock des PNS</t>
  </si>
  <si>
    <t>Cette activité permettra de faire un suivi mensuel des stocks au niveau central et périphérique et d'assurer la mise à jour des données des plans d'approvisionnement dans l'outil QAT</t>
  </si>
  <si>
    <t>30/09/2026</t>
  </si>
  <si>
    <t>Suivi regulier des plans d'approvisionnement des PNS
Suivi des stocks des PNS</t>
  </si>
  <si>
    <t>*Taux de rupture de stock des PNS
*Taux d'exécution des plans d'approvisionnement</t>
  </si>
  <si>
    <t>Rapport de réunion de suivi</t>
  </si>
  <si>
    <t>1.10-2 : Apporter un appui technique aux PNS (PNLS &amp; PNLP) pour la soumission trimestrielle des plans d'approvisionnement dans QAT</t>
  </si>
  <si>
    <t>Sous le lead de la DAP, cette activité permettra de finaliser les dernières mises à jour du PA, de corriger les éventuelles erreurs signalées par l'outil et de valider la version finale des plans d'approvisionnement chaque trimestre</t>
  </si>
  <si>
    <t>1.10-2.1 : Organiser des séances d'actualisation et de validation des plans d'approvisisonnement (PNLS &amp; PNLP) en version finale dans l'outil QAT</t>
  </si>
  <si>
    <t>Les plans d'approvisionnement des PNS sont mis à jour chaque trimestre avant leur soumission</t>
  </si>
  <si>
    <t xml:space="preserve">*Proportion des plans d'approvisionnement des PNS mis à jour et soumis dans les délais
</t>
  </si>
  <si>
    <t>Visibilité des données des plans d'approvisionnement</t>
  </si>
  <si>
    <t>Rapport de séance</t>
  </si>
  <si>
    <t>1.10-3 : Apporter un appui technique aux PNS pour une meilleure prise en main de l'outil QAT</t>
  </si>
  <si>
    <t>Cette activité devra permettre de renforcer les compétences des acteurs des PNS sur l'outil QAT</t>
  </si>
  <si>
    <t>1.10-3.1 : Organiser 03 sessions de renforcement de capacités des acteurs des services GAS  des PNS (PNLS, PNLT, PNLP, PNSME) sur l'outil QAT</t>
  </si>
  <si>
    <t>31/01/2026</t>
  </si>
  <si>
    <t>Les compétences des acteurs des services GAS des PNS sont renforcées</t>
  </si>
  <si>
    <t>Proportion d'acteurs renforcés</t>
  </si>
  <si>
    <t>Meilleure prise en main de l'outil QAT</t>
  </si>
  <si>
    <t>03 Ateliers (PNLS+PNLT, PNLP, PNSME) de 5 jours avec 3 participants LHSPLA
Prise en charge LHSPLA
Location salle
Pause café
*Forfait carburant 
*Full perdiem 
*Forfait carburant
*Frais de connexion internet 
*Frais péage
*Autres frais"</t>
  </si>
  <si>
    <t>OO 1.11 : Gérer, suivre et rendre compte des activités du projet et fournir un retour d'informations opportun sur l'état et la gestion des produits de santé des différents programmes de santé.</t>
  </si>
  <si>
    <t>1.11-1 : Gérer, suivre et rendre compte des activités du projet et fournir un retour d'information</t>
  </si>
  <si>
    <t>Organiser des missions de collectes et de réconcialiations des pièces sur des sites en difficulté, renforcer le capital humain et évaluer la conformité du projet aux différentes instructions/procédures</t>
  </si>
  <si>
    <t>1.11-1.1 : Organiser une mission de collecte et de réconciliation des pièces sur des sites en difficulté</t>
  </si>
  <si>
    <t>Finance</t>
  </si>
  <si>
    <t>Taux de réconciliation à 100%
Amélioration de l'exhaustivité des pièces comptables justifiant les dépenses réalisées,
Renforcement de la transparence et de la conformité.
Optimisation des processus de gestion financière.
Amélioration de la complétude des pièces justificatives provenant des sites en difficulté.</t>
  </si>
  <si>
    <t>Promptitude et Complétude et du rapportage technique financier du projet,</t>
  </si>
  <si>
    <t>Taux de réconciliation des pièces collectées.
Taux d'erreur dans les documents financiers.</t>
  </si>
  <si>
    <t>Amélioration significative de la précision des informations financières et comptables, facilitant une gestion plus efficace et transparente des finances. La réduction des erreurs et des irrégularités . Renforcer la fiabilité des audits et minimiser les risques financiers.</t>
  </si>
  <si>
    <t>Rapport de reconciliation</t>
  </si>
  <si>
    <t>*Rapport financier mi-parcours
*Rapprot financier annuel</t>
  </si>
  <si>
    <t>2 missions à Bouaké / Semestre pour la collecte et la réconciliation des pièces justificatives.
6 jours de full perdiems (1 CS finance + 1 agent finance)+
Carburant &amp; peage + location de véhicule</t>
  </si>
  <si>
    <t xml:space="preserve">1.11-1.2 : Réaliser  des  clôtures comptables mensuels </t>
  </si>
  <si>
    <t>0 écart entre les soldes  physique et théoriques comptables et financiers</t>
  </si>
  <si>
    <t>Délai de production des rapports</t>
  </si>
  <si>
    <t>Amélioration significative de la précision des informations financières et comptables, facilitant une gestion plus efficace et transparente des finances. La réduction des erreurs et des irrégularités renforce la fiabilité des audits et minimise les risques financiers.</t>
  </si>
  <si>
    <t>PV d'inventaire 
Rapport de cloture comptable</t>
  </si>
  <si>
    <t>Program Management</t>
  </si>
  <si>
    <t>Staff training</t>
  </si>
  <si>
    <t xml:space="preserve">Evaluer la  situation financière et le contrôle interne du projet </t>
  </si>
  <si>
    <t>Taux de Conformité du Contrôle Interne
point d'attention d'audit</t>
  </si>
  <si>
    <t>Rapport de l'audit interne</t>
  </si>
  <si>
    <t xml:space="preserve"> Sans budget</t>
  </si>
  <si>
    <t>1.11-1.4 : Réaliser un audit externe du projet par un cabinet comptable.</t>
  </si>
  <si>
    <t xml:space="preserve">Evaluer la  situation financière et le contrôle externe du projet </t>
  </si>
  <si>
    <t>Rapport de l'audit externe</t>
  </si>
  <si>
    <t>honoraires de consultance</t>
  </si>
  <si>
    <t>1.11-1.5 : Atelier de formation sur les méthodes de réconcialiations des pièces justificatives.</t>
  </si>
  <si>
    <t xml:space="preserve">Amélioration de la qualité des pièces justificatives  </t>
  </si>
  <si>
    <t>Rapport d'atelier</t>
  </si>
  <si>
    <t xml:space="preserve">Atelier de format° et d'harmonisat° des collectes et de réconciliation des pièces justificatives, qui se tiendra sur un jour  à la NPSP impliquant l'équipe Finance(6 personnes) +  les personnels d'appuis des autres services (4 Pers DPAS ; 1 pers RH).
TOTAL participants :11 pers 
1 pause café matin et
 1 pause déjeuner </t>
  </si>
  <si>
    <t>1.11-1.6 : Organiser une mission d'inventaire du materiel financé par le bailleur</t>
  </si>
  <si>
    <t>Déterminer la quantité du matériel financé par le bailleur</t>
  </si>
  <si>
    <t>Définir le nombre de matériel sur tous les sites</t>
  </si>
  <si>
    <t>Rapport d'inventaire</t>
  </si>
  <si>
    <t>Inventaire du matériel sur 3 sites (Agence Abj ; magasin de Yop ; Agence de Bouaké)
-Inventaire à l'agence de Bké  ;  
-Budget: 2 jours de full perdiems pour 3 pers (1FIN ;1SI ; 1 CI ou DA) +location de véhicule / 3 jours+ carb &amp; péage.
-Inventaire du matériels octroyés aux DR &amp; PR des régions sanitaires , à réaliser pendant la reunion avec les CTR 
-Budget: 14 jours de full perdiems pour 3 pers (1 FIN+1SI+1CI ou DA ) + frais de transport .
-Inventaire Agence Abj (1jr)  &amp; magasin Yop( 1jr) : 6 pers
(1 Pers DSI + 1 Pers MG + 2 Pers EQ FIN +1 Pers SI+1 pers CI ou DA )
-Prime d'inventaire pour 6 Pers</t>
  </si>
  <si>
    <t>1.11-1.7 :Assurer les frais de soutien à la gestion du projet (Cout indirects)</t>
  </si>
  <si>
    <t>DAF</t>
  </si>
  <si>
    <t>Factures</t>
  </si>
  <si>
    <t>Indirect Costs</t>
  </si>
  <si>
    <t>Communication +carburant +Frais d'entretien véhicules  + divers frais</t>
  </si>
  <si>
    <t>1.11-1.8 : Staff Fringe Benefits.</t>
  </si>
  <si>
    <t>RH</t>
  </si>
  <si>
    <t xml:space="preserve">formation individuelle pour chaque salarié </t>
  </si>
  <si>
    <t>Certificats et diplomes de formation , ou tout autres documents attestant une formation .</t>
  </si>
  <si>
    <t>Facture</t>
  </si>
  <si>
    <t>Staff fringe benefits</t>
  </si>
  <si>
    <t>Salaries</t>
  </si>
  <si>
    <t>Masse salariale de 33 personnes / 12 mois + 13 ème mois en décembre</t>
  </si>
  <si>
    <t>1.11-1.10 : Assurer la Formation continue du personnel</t>
  </si>
  <si>
    <t>• Plan de formation continue du personnel du projet LHSPLA élaboré et validé en début d'année
• 100% du personnel du projet LHSPLA ayant bénéficié d'au moins 1 formation/ perfectionnement dans l'année
• Certifications, attestations et rapports de formation disponibles pour chaque agent
• Compétences techniques du personnel renforcées et documentées</t>
  </si>
  <si>
    <t>Promptitude et Complétude et du rapportage technique financier du projet,
Formation certifiante de l'équipe LHSPLA (36) et du personnel support(5) (Total : 41 personnes)</t>
  </si>
  <si>
    <t xml:space="preserve">
Factures
Rapport de formation
certificat de formation</t>
  </si>
  <si>
    <t>Formation individuel de l'équipe projet</t>
  </si>
  <si>
    <t xml:space="preserve">1.11-1.11 : Equiper le personnel du projet en matériel informatique  </t>
  </si>
  <si>
    <t xml:space="preserve">"*Amélioration de la disponibilité des produits
</t>
  </si>
  <si>
    <t>100% du matériel acquis</t>
  </si>
  <si>
    <t>Acquisition d'autocollant pour matériel informatique
Format A4 :8 ; Format A3 : 8 
; Format 3,5 cm X 2,5 cm : 200 ; Format 8cm X 5,7 cm : 250</t>
  </si>
  <si>
    <t>1.11-1.13 : Frais accessoires du personnel</t>
  </si>
  <si>
    <t>ENGAGEMENTS</t>
  </si>
  <si>
    <t>1.11-2 : Réaliser l'atelier de capitalisation</t>
  </si>
  <si>
    <t>Il s'agit de realiser les ateliers à mi-parcours et du bilan de l'année ainsi que des activités de suivi du projet au de l'année fiscale.</t>
  </si>
  <si>
    <t>1.11-2.1 : Réaliser un atelier bilan à mi-parcours.</t>
  </si>
  <si>
    <t>Le bilan de l'année fiscale 2026 est réalisé et le plan d'actions annuel de l'année fiscale 2027 a été validé.</t>
  </si>
  <si>
    <t>*Taux d'exécution du plan d'actions 2026
*Taux d'absorption du budget FY 26 du projet LHSPLA</t>
  </si>
  <si>
    <t>Maitrise des étapes du projet  pour l'atteinte des objectifs de l'année.</t>
  </si>
  <si>
    <t>*Rapport de l'atelier
*AWP intégré FY26 actualisé</t>
  </si>
  <si>
    <t>*Bilan technique FY26
*Bilan financier FY26
*AWP intégré FY27 élaboré et validé
*AMLEP FY27
*Branding Plan FY27</t>
  </si>
  <si>
    <t>Atelier en hébergement libre - Yamoussoukro
40 participants / 7 nuitées
frais de salle 50 places / transport / carburant et péages / full perdiems / frais de transfert de fonds</t>
  </si>
  <si>
    <t>1.11-2.2 : Réaliser un atelier d'élaboration de l'AWP FY27.</t>
  </si>
  <si>
    <t>Le bilan de l'année fiscale est réalisé et le plan d'actions annuel de l'année fiscale 2026 a été validé.</t>
  </si>
  <si>
    <t>*Taux d'exécution du plan d'actions
*Taux d'absorption du budget du projet LHSPLA</t>
  </si>
  <si>
    <t>*AWP intégré budgétisé FY27 élaboré et validé
*AMLEP FY27
*Plan de communication FY2027
*Plan de financement FY2027
*Narratif du plan FY2027
*Narratif du budget FY2027</t>
  </si>
  <si>
    <t>Scénario 1
Atelier en hébergement libre - Hors Abidjan
31 participants / 6 nuitées
frais de salle 50 places / transport / carburant et péages / full perdiems / frais de transfert de fonds
Scénario 2
Atelier à Abidjan - Hors NPSP
44 participants / 6 nuitées
frais de salle 50 places / transport / carburant et péages (Equipe Bké) / full perdiems (Equipe Bké) / frais de transfert de fonds</t>
  </si>
  <si>
    <t>1.11-2.3 : Réaliser l'atelier de capitalisation et de bilan annuel d'activités</t>
  </si>
  <si>
    <t>Rapport bilan</t>
  </si>
  <si>
    <t>PHASE 1
Atelier en résidentiel - Korhogo
40 participants / 9 nuitées / frais de salle / location de véhicules / carburant et péages / perdiems / frais de transfert de fonds
PHASE 2
Atelier sur Abidjan
44 participants / 5 jours / torfait transport et carburant et péages (personnel Bouaké) / full perdiems / frais de transfert de fonds</t>
  </si>
  <si>
    <t>1.11-3 : Suivre et élaborer les rapports périodiques du projet.</t>
  </si>
  <si>
    <t>Il s'agit de suivre le reporting des activités du projet. Cela permettra d'apprécier l'évolution des activités pour une meilleure prise de décision.</t>
  </si>
  <si>
    <t>Orchestra est à jour administrativement, techniquement et financièrement.
Une prise de décision peut être prise pour une meilleure orientation des activités afin de maximiser leur impact et permettre leur pleine réalisation.</t>
  </si>
  <si>
    <t>Tracabilité de la réalisation des activités pour une prise de décision</t>
  </si>
  <si>
    <t>Extraction mensuel d'ORCHESTRA</t>
  </si>
  <si>
    <t>*Rapports techniques et financiers trimestriels (en  français et anglais)
*Orchestra à jour</t>
  </si>
  <si>
    <t>1.11-3.2 : Organiser des réunions mensuelles du bilan de la performance du projet.</t>
  </si>
  <si>
    <t>Réunion sur Abidjan à la Nouvelle PSP-CI
Forfait transport / Pause-café</t>
  </si>
  <si>
    <t>1.11-3.3 : Acquérir une licence informatique pour la professionnalisation des conceptions graphiques, des rapports et des supports de l'équipe projet</t>
  </si>
  <si>
    <t>Facture / Bordereau de livraison</t>
  </si>
  <si>
    <t>Achat de licence annuelle</t>
  </si>
  <si>
    <t>1.11-3.4 : Contractualiser pour la traduction des documents en langue anglaise.</t>
  </si>
  <si>
    <t>Taux de rapportage dans le delai</t>
  </si>
  <si>
    <t>*Contrat de prestation
*Facture de la prestation</t>
  </si>
  <si>
    <t>560 000 FCFA par trimestre + 100 pages x 8000 FCFA/pages/trimestre + Formation</t>
  </si>
  <si>
    <t>1.11-4 : Renforcer la gouvernance du projet.</t>
  </si>
  <si>
    <t>Cette activité permet de mettre en place des outils de communication avec les parties intéressées, de surveillance, de transparence et de gestion des risques</t>
  </si>
  <si>
    <t>*Les acteurs de la Nouvelle PSP-CI sont sensibilisés sur la valeur ajoutée du Projet LHSPLA.
*Outils d'alerte et de surveillance mis en place pour la continuité du projet.
*Un référentiel de l'assistance technique national est mis en place</t>
  </si>
  <si>
    <t>*Taux d'exécution du plan d'actions
*Taux de collecte des pièces justificatives
*Taux de réconciliation financière</t>
  </si>
  <si>
    <t>Adhésion et contribution de toutes les parties prenantes à l'assistance technique apportés par le projet LHSPLA.</t>
  </si>
  <si>
    <t>Rapport de maintenance</t>
  </si>
  <si>
    <t>*Manuel d'assistance technique
*Bilan semestrielle de la chaine d'approvisionnement</t>
  </si>
  <si>
    <t>Consultance</t>
  </si>
  <si>
    <t>1.11-4.2 : Tenir des GTT d'élaboration du manuel d'assistance technique</t>
  </si>
  <si>
    <t>Compte-rendu des rencontres du GTT</t>
  </si>
  <si>
    <t>1.11-4.3 : Organiser un atelier de validation du manuel d'assistance technique</t>
  </si>
  <si>
    <t>*Rapport d'atelier
*Manuel d'assistance technique</t>
  </si>
  <si>
    <t>Sans buget</t>
  </si>
  <si>
    <t>1.11-4.4 : reprographier des exemplaires du manuel d'assistance technique</t>
  </si>
  <si>
    <t>1.11-4.5 : Organiser une réunion de présentation du manuel d'assistance technique</t>
  </si>
  <si>
    <t>*Adhésion et contribution de toutes les parties prenantes à l'assistance technique apportés par le projet LHSPLA.
*Visibilité du projet LHSPLA au niveau de la Direction Générale de la sAnté
*Referentiel de  la chaine d'approvisionnement pour les années 2026-2030
*Adhésion et contribution de toutes les parties prenantes à l'assistance technique apportés par le projet LHSPLA.</t>
  </si>
  <si>
    <t>Compte-rendu de la réunion</t>
  </si>
  <si>
    <t>1.11-4.6 : Organiser une réunion avec la Direction Générale de la Santé sur la chaine d'approvisionnement</t>
  </si>
  <si>
    <t>PTM</t>
  </si>
  <si>
    <t>Bilan semestriel des activités de la chaine d'approvisionnement au niveau national</t>
  </si>
  <si>
    <t>Indicateurs de la chaine d'approvisionnement</t>
  </si>
  <si>
    <t>Rapport de réunion semestrielle de la chaine d'approvisionnement</t>
  </si>
  <si>
    <t>Atelier hors Abidjan, 2 jours
87 personnes, full perdiems, pause-café, salle, transport, carburant</t>
  </si>
  <si>
    <t>1.11-4.7 : Organiser un atelier  de validation du Plan National Stratégique de la CA de 2026-2030 (05 jours)</t>
  </si>
  <si>
    <t>PNSCA validé</t>
  </si>
  <si>
    <t>Referentiel validé</t>
  </si>
  <si>
    <t xml:space="preserve">Atelier de 47 personnes (44 partie nationale et 3 PTF) à yamoussoukro
Hébergement libre avec 2 pauses café+ eau minérale sur 03jours ; Transport partie national, kits participants pour 23 personnes ; Location d’une salle plénière (3 jours)
Location de 2 salles travx de groupe 3jours ( avec vidéo projecteur) et 01 salle pour 2 jours (15 personnes pour le groupe restreint)
Comité restreint 2jours (15 personnes) pour consolidation du PNSCA 2026-2030
</t>
  </si>
  <si>
    <t>1.11-4.8 : Organiser des sessions de redevabilité du projet avec toutes les parties prenantes</t>
  </si>
  <si>
    <t>Appréciation des récipiendaires du projet</t>
  </si>
  <si>
    <t>Compte-rendu</t>
  </si>
  <si>
    <t>2 sessions de cadre de redevabilité de 3 jours chacune
full perdiems / location de salle / frais de carburant / frais de transport / eau en salle / pause-café / frais de transfert de fonds</t>
  </si>
  <si>
    <t>1.11-5 : Renforcer la crédibilité et la légitimité de LHSPLA</t>
  </si>
  <si>
    <t>Il s'agit de positionner le projet comme un acteur technique et stratégique fiable en matière d’approvisionnement local en produits de santé et de mettre en avant ses résultats, son expertise et ses bonnes pratiques.</t>
  </si>
  <si>
    <t>1.11-5.1 : Créer un club ambassadeur pour promouvoir le projet LHSPLA</t>
  </si>
  <si>
    <t>Point focal communication</t>
  </si>
  <si>
    <t>Les actions du club concourent à mieux faire connaitre le projet</t>
  </si>
  <si>
    <t>Un projet reconnu</t>
  </si>
  <si>
    <t>Proportion de personnes reconnaissant le projet (Taux de notoriété)</t>
  </si>
  <si>
    <t>Renforcer la connaissance du projet par les PIP</t>
  </si>
  <si>
    <t xml:space="preserve">1 liste d'ambassadeur </t>
  </si>
  <si>
    <t xml:space="preserve">Les résultats de l'étude de notoriété sur le projet LHSPLA sont disponibles </t>
  </si>
  <si>
    <t>1.11-5.2 : Organiser la récompense des meilleures gestionnaires sur 3 sites (Région, DS et Hôpital) au moins du T1</t>
  </si>
  <si>
    <t xml:space="preserve">Les clients du projet sont motivés </t>
  </si>
  <si>
    <t>3 sites au T1, 3 sites au T2</t>
  </si>
  <si>
    <t xml:space="preserve">Les resultats de l'étude de notoriété sur le projet LHSPLA sont disponibles </t>
  </si>
  <si>
    <t xml:space="preserve">Le projet LHSPLA mettra en avant pour le T1 et le T2 sur 3 sites - niveau régional, niveau district et niveau hopital, les meilleurs gestionnaires.                                                                                                                  La récompense se fera sous la forme d'une remise symbolique de trophées et gadgets personnalisés au site. Elle sera suivie d'un déjéuné et sera aussi l'occassion de faire une captation vidéo du témoignage du gestionnaire du site reconnu.                                                                                                                                L'activité se fera selon le circuit des sites à récompenser et le budget prendra en compte full perdiems de l'équipe, transport/carburant, lots à récompenser et déjeuné de récompense. </t>
  </si>
  <si>
    <t>1.11-5.3 : Développer un catalogue électronique des produits de laboratoire</t>
  </si>
  <si>
    <t>Les commandes des produits de laboratoires sont en adéquation avec les besoins des sites</t>
  </si>
  <si>
    <t>1 catalogue électronique réalisé</t>
  </si>
  <si>
    <t>1.11-5.4 : une rencontre opérationnelle pour améliorer la collaboration LHSPLA - Nouvelle PSP</t>
  </si>
  <si>
    <t>Le personnel des directions opérationnelles est informés du projet</t>
  </si>
  <si>
    <t>1 TDR et 1 CR de rencontre</t>
  </si>
  <si>
    <t>1 à Abidjan au début de mois de juillet. Perdiems, carburants et transports, pause café et déjeuné. Les entités représentées seront LHSPLA - 2 PMO, 2 COM, 2 CAD, 4 autres entités / DCMP - 2 représentants / DEX - 2 représentants / Agences commerciales et programmes - 2 représentants. Total 20 personnes.                                                                                                                               LHSPLA présentera son bilan et les difficultés rencontrées. Les agences présenteront également leur indicateurs et les difficultés rencontrées. L'objectif sera donc de renforcer l'intégration et de solutionner les difficutés opérationelles.</t>
  </si>
  <si>
    <t>1.11-5.5 : Elaborer des quizz en lignes sur le projet LHSPLA (en interne et en externe à travers la page Facebook)</t>
  </si>
  <si>
    <t>Le personnel des directions opérationnelles est informé du projet. Les entités externes sont également informées.</t>
  </si>
  <si>
    <t>1er quizz en février
2nd quizz en juin</t>
  </si>
  <si>
    <t>1.11-5.6 : Mesurer la notoriété du projet LHSPLA</t>
  </si>
  <si>
    <t>La notoriété du projet et les recommandations d'amélioration sont connues</t>
  </si>
  <si>
    <t>1 taux de notoriété</t>
  </si>
  <si>
    <t>1.11-5.7 : Renforcer la crédibilité technique du projet à travers la production et la diffusion de contenus scientifiques et techniques</t>
  </si>
  <si>
    <t>Encourager la rédaction et la diffusion de notes techniques, articles et documents de capitalisation par les experts du projet, afin de renforcer la crédibilité scientifique et institutionnelle du LHSPLA.</t>
  </si>
  <si>
    <t>Publications scientifiques réalisées</t>
  </si>
  <si>
    <t>1.11-6 : Promouvoir les actions innovantes et les réussites du projet</t>
  </si>
  <si>
    <t>Valoriser les partenariats réussis, les innovations logistiques ou technologiques mises en œuvre et rendres visibles les impacts concrets du projet sur le terrain.</t>
  </si>
  <si>
    <t>1.11-6.1 : Organiser 2 ateliers de rédactions des histoires à succès avec les entités du projet</t>
  </si>
  <si>
    <t xml:space="preserve">Les succès du projet sont connus </t>
  </si>
  <si>
    <t>Un projet impactant</t>
  </si>
  <si>
    <t>Nombre de personnes touchées par les publications</t>
  </si>
  <si>
    <t>Valoriser les résultats obtenus par le projet, mobiliser et fidéliser les partenaires et renforcer la motivation des équipes</t>
  </si>
  <si>
    <t>Compte rendu des ateliers et au moins 1 histoires à succès rédigée</t>
  </si>
  <si>
    <t>Les rapports des actions de promotion réalisées sont disponibles</t>
  </si>
  <si>
    <t>Location de salle, pause café et pause déjeuner
1 atelier en avril et le 2nd en septembre</t>
  </si>
  <si>
    <t>1.11-6.2 : Réaliser une série de capsules - LHSPLA en action</t>
  </si>
  <si>
    <t>Les PIP et le personnel de la Nouvelle PSP sont informées du projet</t>
  </si>
  <si>
    <t>1 série de capsule réalisée</t>
  </si>
  <si>
    <t>1.11-6.3 : Organiser une série de webinaire pour présenter les entités du projet LHSPLA (CAD, QAD, SE, SI et fonctions supports)</t>
  </si>
  <si>
    <t>Des webinaires réalisés</t>
  </si>
  <si>
    <t>1.11-6.4 : Elaborer la ligne éditoriale pour les canaux digitaux du projet LHSPLA</t>
  </si>
  <si>
    <t>L'identité  du projet est renforcée et harmonisée</t>
  </si>
  <si>
    <t>1 document</t>
  </si>
  <si>
    <t>1.11-6.5 : Créer une chaine TikTok et un LinkedIn autour du projet</t>
  </si>
  <si>
    <t xml:space="preserve">Le projet est connu </t>
  </si>
  <si>
    <t>1 chaine crée</t>
  </si>
  <si>
    <t xml:space="preserve">1.11-6.6 : Sponsoriser la page Facebook LHSPLA </t>
  </si>
  <si>
    <t>31/09/2026</t>
  </si>
  <si>
    <t>1 page de suivi</t>
  </si>
  <si>
    <t>Budget de sponsoring - 100 000F par mois pendant 11 mois</t>
  </si>
  <si>
    <t>1.11-6.7 : Produire les gadgets nécessaires pour la visibilité du projet</t>
  </si>
  <si>
    <t>L'identité visuelle du projet est renforcée</t>
  </si>
  <si>
    <t>Des gadgets disponibles</t>
  </si>
  <si>
    <t>Budget de gadgets</t>
  </si>
  <si>
    <t>1.11-6.8 : Produire de nouveaux kakémonos</t>
  </si>
  <si>
    <t>Des kakémonos disponibles</t>
  </si>
  <si>
    <t>Budget de kakémonos - 80 000F CFA par kakémonos à raison de 6 kakémonos</t>
  </si>
  <si>
    <t>1.11-6.9 : Acquerir du matériel audiovisuel pour la creation de contenu video</t>
  </si>
  <si>
    <t>Services Relations Publiques</t>
  </si>
  <si>
    <t>Les contenus vidéos sont captivantes et de bonne qualité</t>
  </si>
  <si>
    <t>Materiels audiovisuels acquis</t>
  </si>
  <si>
    <t>Budget de matériel</t>
  </si>
  <si>
    <t>1.11-6.10 : Déployer des outils de communication pratique pour l’amélioration de la gestion pharmaceutique</t>
  </si>
  <si>
    <t>Les outils de communcation sont déployés et la gestion pharmaceutique est améliorée</t>
  </si>
  <si>
    <t>Nombre d'affiches produites</t>
  </si>
  <si>
    <t>Production d'au moins 10 affiches sur les 10 régions pilotes prioritaires + tableau affichage - 1 mission de supervision de l'équipe com pour vérifier l'affichage sur un site pilote (full perdiems, transport/carburant)</t>
  </si>
  <si>
    <t>1.11-6.11 : Mettre en place un dispositif de diffusion via WhatsApp des gestionnaires</t>
  </si>
  <si>
    <t>des diffusions sont effectuées via whatsapp aux gestionnaires</t>
  </si>
  <si>
    <t>La plateforme whatsapp est fonctionnelle</t>
  </si>
  <si>
    <t>1.11-6.12 : Produire des capsules vidéo pédagogiques courtes</t>
  </si>
  <si>
    <t>Les capsules sont élaborées et diffusées</t>
  </si>
  <si>
    <t>Les capsules sont diffusées</t>
  </si>
  <si>
    <t>1.11-6.13 : Déployer une campagne d’adhésion et de fidélisation des gestionnaires de pharmacie aux canaux digitaux du projet</t>
  </si>
  <si>
    <t>Le pourcentage d'abonnés évolue</t>
  </si>
  <si>
    <t>OS 2 :  GARANTIR UN APPROVISIONNEMENT RATIONNEL ET TRANSPARENT, UN STOCKAGE ADÉQUAT ET UNE DISTRIBUTION EN TEMPS VOULU DE CERTAINS PRODUITS DE SANTÉ AUX SITES DE PRESTATION DE SERVICES DÉSIGNÉS EN CÔTE D'IVOIRE</t>
  </si>
  <si>
    <t>OO 2.1 : Soutenir les autres agences d’approvisionnement dans l’exécution et le suivi des plans d’approvisionnement des produits de santé.</t>
  </si>
  <si>
    <t>2.1-1 : Organiser l'approvisionnement des produits achetés par GHSC-PSM &amp; GHSC-RTK.</t>
  </si>
  <si>
    <t>Cette activité consiste à créer dans ARTMIS les commandes planifiées sur budget PEPFAR/PMI et à suivre le traitement de ces commandes.</t>
  </si>
  <si>
    <t>2.1-1.1 : Créer les ROs dans ARTMIS pour les commandes planifiées des programmes VIH, Malaria, MCH sous financement du Gouvernement américain</t>
  </si>
  <si>
    <t>Rapport ROs le communcation mensuel déployés PNS du Gouvernement américain  Ma améliorée</t>
  </si>
  <si>
    <t>Initier et assurer l'exécution de 100% des commandes planifiées sur budget PEPFAR/PMI</t>
  </si>
  <si>
    <t>Taux d'exécution du plan d'approvisionnement</t>
  </si>
  <si>
    <t>Disponibilité des produits
Respect du plan d'approvisionnement des PNS</t>
  </si>
  <si>
    <t>Liste des ROs créés</t>
  </si>
  <si>
    <t>Rapport mensuel d'activités</t>
  </si>
  <si>
    <t>Drugs and medicines</t>
  </si>
  <si>
    <t>2.1-1.2 : Organiser l'approbation des ROs par la NPSP, les PNS et le DoS</t>
  </si>
  <si>
    <t>Rapport des l' communcation mensuel déployés PNS et le DoS SP, améliorée</t>
  </si>
  <si>
    <t>Liste des ROs approuvés</t>
  </si>
  <si>
    <t>2.1-1.3 : Suivre l'exécution des commandes au niveau de GHSC-PSM &amp; GHSC-RTK  (relances, clarifications, validations des spécifications techniques, validations des durées de vie, etc.).</t>
  </si>
  <si>
    <t>Rapport des l' communcation mensuel déployés PNS de vie, etc.). s,  améliorée</t>
  </si>
  <si>
    <t>2.1-1.4: Apporter un appui. technique au PNSME pour la détermination des caractéristiques techniques  des produits à acquérir sur financement MCH.</t>
  </si>
  <si>
    <t>Les caractéristiques techniques des produits à acquérir sous financement MCH sont déterminées.</t>
  </si>
  <si>
    <t>2.1-2 : Organiser le suivi des plans d'approvisionnement des Programmes Nationaux de Santé.</t>
  </si>
  <si>
    <t>Cette activité consiste à suivre l'exécution des commandes dans le cadre des différents plans d'approvisionnement.</t>
  </si>
  <si>
    <t>2.1-2.1 : Assister le processus d'achat des produits des programmes sous financement Gouvernement.</t>
  </si>
  <si>
    <t>Contribuer à une exécution de 95 % des plans d'approvisionnement des Programmes Nationaux de Santé</t>
  </si>
  <si>
    <t>*Taux d'exécution du plan d'approvisionnement (Cible 95%)</t>
  </si>
  <si>
    <t>Disponibilité des produits
Respect du plan d'approvisionnement des PNS
Disponibilité des informations en temps réel sur l'état des commandes pour faciliter la prise de décision</t>
  </si>
  <si>
    <t>Fichier suivi commandes</t>
  </si>
  <si>
    <t>Outil de suivi du traitement des commandes
Mail de diffusion</t>
  </si>
  <si>
    <t>2.1-2.2 : Diffuser mensuellement la situation des commandes gérées par la NPSP aux programmes nationaux de santé et à toutes les parties prenantes.</t>
  </si>
  <si>
    <t>Mails de transmission aux PNS</t>
  </si>
  <si>
    <t>2.1-2.3 : Concevoir  un outil pour faciliter le suivi mensuel des différentes étapes de traitement des commandes par la DAP/CNCAM</t>
  </si>
  <si>
    <t>30/11/2025</t>
  </si>
  <si>
    <t>Outil de suivi du traitement des commandes</t>
  </si>
  <si>
    <t>2.1-2.4 : Orienter les acteurs de la DAP/CNCAM sur l'utilisation de l'outil de suivi mensuel des différentes étapes de traitement des commandes.</t>
  </si>
  <si>
    <t>Outil acteurs le communcation des déployés par traitement des commandes. men améliorée</t>
  </si>
  <si>
    <t>2.1-2.5 : Diffuser mensuellement un point sur les produits à risque et les commandes attendues</t>
  </si>
  <si>
    <t>Mails de diffusion</t>
  </si>
  <si>
    <t>2.1-2.6 : Diffuser mensuellement l'état de l'exécution des budgets Etat aux PNS (PNLS, PNLP) et autres acteurs intéressés</t>
  </si>
  <si>
    <t>2.1-2.7 : Organiser chaque trimestre des reunions de priorisation de commandes selon les niveaux d'exécution budgétaire, avec les parties prenantes (PNS, Département Approvisionnement, DPAS)</t>
  </si>
  <si>
    <t>Rapport de reunion</t>
  </si>
  <si>
    <t>2.1-2.8 : Apporter un appui technique et financier pour la tenue d'une reunion trimestrielle de réconciliation des budgets BGE avec les programmes nationaux de santé (PNLP, PNLS, PNLT, PNSME)</t>
  </si>
  <si>
    <t>Reunion de 05 jours à Yamoussoukro réunissant 31 participants : 1 jour / programme PNSME, PNLS, PNLP, PNLT + consolidation
DPAS : Directrice DPAS + Chauffeur , DMOSE (1 CD, 2 CS), DGRP (1 CD, 1CS, 1 Agent), Agence Programme (1CD)
DAF : DAF + Chauffeur , CS Gestion de projet
DAP : Directrice de l'Approvisionnement + Chauffeur, 1 Responsable Suivi Achat Programme
LHSPLA : Directrice LHSPLA + Chauffeur , QAD (QFA, PSM)
Chaque programme : DC + Chauffeur, Chef de Service GAS</t>
  </si>
  <si>
    <t>OO 2.2 : Assurer un stockage adéquat des produits de santé.</t>
  </si>
  <si>
    <t>2.2-1 : Apporter un appui technique pour le suivi des arrivées, des réceptions et des entrées en stocks de produits du programme au niveau central</t>
  </si>
  <si>
    <t>Cette activité consiste à faire un suivi régulier des produits réceptionnés à la NPSP en vue de permettre une célérité de leur entrée en stock. Un point hebdomadaire des produits en attente d'entrée en machine sera élaboré et diffusé aux parties intéressées.</t>
  </si>
  <si>
    <t>2.2-1.1 : Faire un suivi hebdomadaire du processus d'entrée en stock  (machine)</t>
  </si>
  <si>
    <t>Rapport suivi un communcation hebdomadaire déployés Agences en stock  (machine) e e améliorée</t>
  </si>
  <si>
    <t>Les produits sont entrés en machine dans les délais requis</t>
  </si>
  <si>
    <t>Délai moyen d'entrée en machine des  produits reçus dans la base de données informatique de la NPSP</t>
  </si>
  <si>
    <t>Rapport hebdomadaire d'activité</t>
  </si>
  <si>
    <t>2.2-1.2 : Faire un suivi hebdomadaire des entrées en machine des produits de programme non référencés à la NPSP</t>
  </si>
  <si>
    <t>Rapport suivi un communcation hebdomadaire déployés Agences à la NPSP e n améliorée</t>
  </si>
  <si>
    <t>2.2-1.3 : Elaborer une note technique dans le cadre de la création de nouveaux fournisseurs et des produits non référencés</t>
  </si>
  <si>
    <t>Note technique élaborée</t>
  </si>
  <si>
    <t>Fichier de suivi intégré de la réception</t>
  </si>
  <si>
    <t>2.2-2 : Apporter un appui technique au mécanisme de réapprovisionnement des agences de distribution (agence programme Abidjan et Agence de Bouaké)</t>
  </si>
  <si>
    <t>L'assistance consistera à travailler avec l'agence Programme pour assurer la conformité du processus de réapprovisionnement qui peut garantir un stock optimal pour les Agences en lien avec le chronogramme de distribution.</t>
  </si>
  <si>
    <t>2.2-2.1 : Apporter  un appui pour le renforcement du mécanisme de réapprovisionnemnt des Agences.</t>
  </si>
  <si>
    <t>Les produits des PNS sont disponibles dans les agences de distribution</t>
  </si>
  <si>
    <t>*Taux de satisfaction par la NPSP-CI sur les produits VIH suivis dans le cadre du projet. *Taux de respect des délais de livraison aux sites</t>
  </si>
  <si>
    <t>Fichier de suggestions de réapprovisionnement</t>
  </si>
  <si>
    <t>2.2-2.2 : Faire le suivi hebdomadaire de l'exécution du plan de réapprovisionnement consensuel</t>
  </si>
  <si>
    <t>Fichier suivi le communcation de déployés de de réapprovisionnement consensuel ons améliorée</t>
  </si>
  <si>
    <t>2.2-2.3 : Mettre en place une instruction de travail afin de formaliser la procédure opérationnelle de réapprovisionnement des produits de programme</t>
  </si>
  <si>
    <t>2.2-2.4 : Mettre en place un fichier de suivi intégré du plan de réapprovisionnement des produits de programme</t>
  </si>
  <si>
    <t>Fichier de suivi intégré du plan de réapprovisionnement des produits de programme</t>
  </si>
  <si>
    <t>2.2-2.5 : Apporter un appui financier pour le répprovisionnement complet inter-agence par location d'un camion</t>
  </si>
  <si>
    <t xml:space="preserve">Factures de location </t>
  </si>
  <si>
    <t>Location de véhicules (camions)</t>
  </si>
  <si>
    <t>2.2-3 : Organiser des inventaires des produits de programme.</t>
  </si>
  <si>
    <t xml:space="preserve">Cette activité consiste à réaliser les exercices d'inventaires tournant dans les magasins de la NPSP pour améliorer la précision et la justesse des stocks. Durant l'année 2026, tous les produits traceurs des programmes PNLP et PNLS seront concernés par ces inventaires. </t>
  </si>
  <si>
    <t>2.2-3.1 : Organiser 3 inventaires des produits traceurs  des programmes suivis (PNLP, PNSME, PNLS).</t>
  </si>
  <si>
    <t>03 inventaires sont réalisés</t>
  </si>
  <si>
    <t>*Taux de précision des inventaires tournant financés par LHSPLA au sein de la NPSP
*Proportion des écarts de stock corrigés</t>
  </si>
  <si>
    <t>* 03 inventaires (Agence programme +Agence Bouaké)
* 2 jours non ouvrés par entité  avec 101 participants dont 1 du PNLS et 1 PNLP et 2 jours  pour la recherche et justification  des écarts et 1 pour la rédaction du rapport d'inventaire :                                                                      Frais LHSPLA                                                                        * location de véhicule + Carburant pour le véhicule LHSPLA QFA                                                                  *Full Perdiem pour 5 participants à l'inventaire tournant de bouaké (1LHSPLA, 1DPAS, 2 PNS)                                  * Forfait hegergement (LHSPLA et DPAS)                                                *Frais de Péages                                                                     *Frais de transport des 3 participants PNS               *Prime d'inventaire</t>
  </si>
  <si>
    <t xml:space="preserve">Cette activité consiste à réaliser les exercices d'inventaires tournant dans les magasins de la NPSP pour améliorer la précision et la justesse des stocks. Durant l'année 2026, les produits traceurs des programmes PNLP et PNLS seront concernés par ces inventaires. </t>
  </si>
  <si>
    <t>Les ecarts constatés sur le stock sont corrigés</t>
  </si>
  <si>
    <t>2.2-4 : Apporter un appui technique et financier dans le stockage et la gestion efficace des  produits de programme thermosensibles (chambre froide )</t>
  </si>
  <si>
    <t>Cette activité consiste à renforcer les cappacités de stockage des produits thermosensibles au niveau de l'agence programme par l'acquisition de surgelateurs.</t>
  </si>
  <si>
    <t>2.2-4.1 : Acquérir 02 surgelateurs pour l'agence programme</t>
  </si>
  <si>
    <t>30/04/2026</t>
  </si>
  <si>
    <t>Factures pour 02 communcation Factures déployés garantissant pour l'agence programme ur  améliorée</t>
  </si>
  <si>
    <t>Acquisitions de 02 surgelateurs</t>
  </si>
  <si>
    <t>Améliorer la gestion des produits de programmes thermosensiblesen garantissant leur  sécurité,</t>
  </si>
  <si>
    <t>Factures d'acquisition</t>
  </si>
  <si>
    <t>2.2-5 : Assurer un stockage et une distribution adéquat des produits de santé</t>
  </si>
  <si>
    <t>Assurer la gestion des frais bancaires. 
Assurer le carburant et l'entretien des véhicules.
Assurer la fourniture des consommables de bureaux.
Couverture assurance des biens et staff du projet.</t>
  </si>
  <si>
    <t>2.2-5.1 : Frais de stockage et de distribution.</t>
  </si>
  <si>
    <t>Maintien de l'efficacité des produits 
Prévention des contaminations
Assurer un stockage et une distribution adéquat des produits de santé
Respect des réglementations
Amélioration du service client</t>
  </si>
  <si>
    <t>Taux de Conformité des Stocks
Taux de Péremption des Produits
Temps Moyen de Livraison
Indice de Satisfaction Client
Indice de Satisfaction Client</t>
  </si>
  <si>
    <t>Assurer la qualité des produits et garantir la conformité aux régulations.
Maintenir la qualité et la sécurité des produits. 
Améliorer la satisfaction client et de renforcer la réputation du projet.</t>
  </si>
  <si>
    <t>Other Direct Costs</t>
  </si>
  <si>
    <t>Frais de stockage et de distribution / pour 12 mois</t>
  </si>
  <si>
    <t>2.2-5.2 : Transmettre à la CAACPS la  liste actualisée de tous les produits en allocation au plus tard le 04 du mois</t>
  </si>
  <si>
    <t xml:space="preserve">Justesse de la CAACPS dans la validation des commandes </t>
  </si>
  <si>
    <t xml:space="preserve">Liste mensuelle actualisée de tous les produits en allocation </t>
  </si>
  <si>
    <t>2.2-5.3 : S'assurer de la transmission mensuelle de la liste des produits en surstock avec une date de péremption inférieur à 12 mois</t>
  </si>
  <si>
    <t>2.2-5.4 : Assurer la transmission  chaque semaine du point du traitement des allocations aux programmes via le bulletin hebdomadaire</t>
  </si>
  <si>
    <t>Bulletin hebdomadaire</t>
  </si>
  <si>
    <t>2.2-5.5 : Apporter un appui technique et financier pour la tenue de réunions trimestrielles sur la gestion des produits de programmes</t>
  </si>
  <si>
    <t>Rapport d'activité + Plan d'action</t>
  </si>
  <si>
    <t>Réunion de 01 jours à Bouaké.
Prise en charge de  3 personnes (2 DGPP &amp; 1 DMOSE) : Perdiems, Location de voiture, Forfait carburant, Péage</t>
  </si>
  <si>
    <t>2.2-5.6 : Élaborer un plan d'allocation pour  une remise à niveau des stocks nationaux</t>
  </si>
  <si>
    <t>Remise à niveau des stocks de produits disponibles chez less clients</t>
  </si>
  <si>
    <t>Rapport d'activité + Plan d'actions</t>
  </si>
  <si>
    <t>2.2-5.7 : Validation plan d'allocation pour  une remise à niveau des stocks national par le PNS</t>
  </si>
  <si>
    <t xml:space="preserve">2.2-5.8 : Apporter un appui technique et financier pour la mise en oeuvre plan d'allocation pour  une remise à niveau des stocks national </t>
  </si>
  <si>
    <t xml:space="preserve">Location de camion </t>
  </si>
  <si>
    <t>2.2-6 : Développer et déployer un outil web intelligent de prévision et de gestion des péremptions pour optimiser la gestion des stocks et minimiser les pertes de produits de santé au niveau de l'Agence Programme NPSP</t>
  </si>
  <si>
    <t>L'Agence Programme de la NPSP gère des volumes considérables de produits pharmaceutiques avec des durées de vie variables, générant des risques significatifs de péremption qui impactent négativement l'efficacité opérationnelle et la viabilité financière du système. Le développement d'un outil web de prévision des péremptions s'inscrit dans une démarche d'optimisation basée sur l'intelligence des données pour transformer la gestion réactive actuelle en approche prédictive et préventive.
L'outil sera développé selon une architecture web moderne intégrant des algorithmes prédictifs basés sur l'analyse des tendances de consommation, les données historiques de distribution et les caractéristiques spécifiques des produits. La solution offrira des tableaux de bord interactifs, des alertes automatisées et des recommandations d'actions pour optimiser l'utilisation des stocks avant péremption.</t>
  </si>
  <si>
    <t>2.2-6.1 : Recruter et mobiliser un consultant spécialisé en développement d'applications web pour la gestion pharmaceutique</t>
  </si>
  <si>
    <t>- Contrat de consultance signé (3 mois)
- Plan de travail détaillé validé</t>
  </si>
  <si>
    <t>Outil disponible</t>
  </si>
  <si>
    <t>- Coût de rémunération du consultant sur les trois mois en raison de 500 000 FCFA par mois.
- Sessions de formation pour 10 utilisateurs (administrateurs système et personnel clé de l'Agence Programme), élaboration de supports pédagogiques et mise en place du support technique post-déploiement.</t>
  </si>
  <si>
    <t>2.2-6.2 : Analyser les besoins fonctionnels et concevoir l'architecture de l'outil de prévision des péremptions</t>
  </si>
  <si>
    <t>- Document de spécifications fonctionnelles détaillées
- Architecture technique avec schémas de base de données
- Spécifications des algorithmes de calcul DMM et prévision
- Maquettes des interfaces utilisateur</t>
  </si>
  <si>
    <t>2.2-6.3 : Développer l'intégralité de l'outil et réaliser les tests complets</t>
  </si>
  <si>
    <t>outil développé et tests réalisés</t>
  </si>
  <si>
    <t>2.2-6.4 : Déployer l'outil sur l'infrastructure NPSP et former les utilisateurs</t>
  </si>
  <si>
    <t>2.2-6.5 : Documenter la solution et transférer les compétences techniques+E146+B146</t>
  </si>
  <si>
    <t>2.2-7 : Appui technique et financier à la mise en place du système de Suivi-Évaluation de la Direction de l'Exploitation de la NPSP avec des indicateurs clés de performance (ICP)</t>
  </si>
  <si>
    <t>La Direction d'Exploitation (DEX) de la NPSP-CI assure la distribution des produits de santé vers l'ensemble des établissements sanitaires du pays. Pour renforcer le pilotage de cette distribution, le projet LHSPLA apporte un appui technique et financier pour la mise en place d'un système de Suivi-Évaluation (SE) robuste et opérationnel au sein de la DEX. Cette initiative consiste à : (1) évaluer le système SE existant et diagnostiquer les besoins, (2) développer un cadre de performance avec des indicateurs clés (ICP) pertinents, (3) concevoir des outils adaptés de collecte et d'analyse de données, (4) renforcer les capacités des acteurs DEX, (5) mettre en œuvre une phase pilote, et (6) assurer la pérennisation du système. Le projet LHSPLA intervient en appui technique ("maître d'ouvrage délégué"), la DEX restant le maître d'ouvrage principal, en cohérence avec les principes d'appropriation et de durabilité du Bridge Plan PEPFAR.</t>
  </si>
  <si>
    <t>2.2-7.1 : Évaluaer les besoins et faire le diagnostic du système actuel</t>
  </si>
  <si>
    <t>DEX</t>
  </si>
  <si>
    <t>• Rapport de diagnostic du système SE actuel de la DEX disponible
• Besoins en outils, compétences et processus SE identifiés et documentés
• Rapport validé par la Direction de la DEX et le projet LHSPLA</t>
  </si>
  <si>
    <t>=&gt; Un cadre de performance opérationnel est développé et validé avec au moins 10 ICP pertinents couvrant les processus clés de la Direction de l'Exploitation (approvisionnement, stockage, distribution, gestion des stocks, qualité)
=&gt; Un système fonctionnel de collecte et d'analyse des données est mis en place avec :
• 100% des outils de collecte développés et testés
• Un tableau de bord interactif de performance accessible en temps réel
• Des SOP documentées pour tous les processus S&amp;E
=&gt; Les capacités du personnel sont renforcées avec :
• Au moins 10 agents de la Direction de l'Exploitation formés sur le système S&amp;E
• 100% des points focaux capables de collecter et rapporter les données de manière autonome
• Un plan de mentorat et coaching déployé
=&gt; La performance de la Direction de l'Exploitation est mesurée et rapportée de manière régulière avec :
• Production de 4 rapports trimestriels de performance en FY26
• Taux de complétude des données S&amp;E ≥ 85% dès le 3ème trimestre
• Documentation d'au moins 3 décisions managériales basées sur les données du S&amp;E</t>
  </si>
  <si>
    <t>• Rapport d'évaluation des besoins en S&amp;E de la Direction de l'Exploitation
• Liste consolidée des indicateurs proposés avec justifications
• Cartographie des sources de données disponibles</t>
  </si>
  <si>
    <t>2.2-7.2 : Développer le cadre de performance et sélectionner les indicateurs clés de performance (ICP)</t>
  </si>
  <si>
    <t>• Cadre de performance DEX développé avec au moins 10 ICP pertinents et validés
• ICP validés par la Direction de la DEX et le service SE de LHSPLA
• Document du cadre de performance DEX disponible et approuvé</t>
  </si>
  <si>
    <t>2.2-7.3 : Concevoir et développer des outils de collecte et d'analyse</t>
  </si>
  <si>
    <t>• Outils de collecte des données (formulaires, fiches de reporting) conçus et validés
• Guide d'utilisation des outils disponible</t>
  </si>
  <si>
    <t>2.2-7.4 : Renforcer les capacités des acteurs intervenant dans le système de Suivi-Evaluation</t>
  </si>
  <si>
    <t>• Personnel clé de la DEX (responsables, superviseurs, data analystes) formé sur le système SE et les outils
• Rapport de formation avec évaluation des acquis disponible
• Capacité des acteurs DEX à utiliser et interpréter les indicateurs définis</t>
  </si>
  <si>
    <t xml:space="preserve">1 atelier de 17 personnes
6 jours de travail/atelier
Pause café : 
Carburant 
Full perdiem 
eau minérale   
Location de salle </t>
  </si>
  <si>
    <t>2.2-7.5 : Mettre en œuvre la phase pilote de l'implémentation du système et effectuer les ajustements nécessaires</t>
  </si>
  <si>
    <t>• Phase pilote d'implémentation du système SE DEX mise en œuvre avec collecte de données réelles
• Ajustements et correctifs réalisés sur la base des retours terrain
• Rapport de phase pilote avec constats et recommandations d'amélioration disponible
• Système SE validé et prêt pour un déploiement à plus grande échelle</t>
  </si>
  <si>
    <t>2.2-7.6 : Assurer le Suivi-accompagnement et pérennisation du système</t>
  </si>
  <si>
    <t>• Plan de pérennisation du système SE élaboré et validé par la Direction DEX
• Rapport de clôture avec recommandations pour la durabilité du système disponible</t>
  </si>
  <si>
    <t>OO 2.6 : Organiser une distribution efficace et en temps voulu des produits de santé à toutes les pharmacies et à tous les hôpitaux des districts sanitaires, ainsi qu'aux centres de santé pour lesquels il existe des contrats de distribution directe.</t>
  </si>
  <si>
    <t>2.6-1 : Renforcer l'opérationnalisation  de l'Agence Programme</t>
  </si>
  <si>
    <t>Cette activité devra permettre de renforcer les capacités logistiques et les ressources humaines de l'Agence Programme</t>
  </si>
  <si>
    <t>2.6-1.1 : Organiser  01 session de coaching des agents  des entités opérationnelles des agences de distribution sur les produits de programme (acteurs de Bouaké et Abidjan)</t>
  </si>
  <si>
    <t>Les capacités des acteurs de l'agence programme sont renforcées</t>
  </si>
  <si>
    <t>*Taux de satisfaction par la NPSP-CI sur les produits VIH suivis dans le cadre du projet. *Taux de respect des délais de livraison aux sites
*Taux de réclamation clients pour les produits programmes</t>
  </si>
  <si>
    <t>Améliorer la disponibité des produits des programmes sur toute la chaine d'approvisionnement</t>
  </si>
  <si>
    <t xml:space="preserve"> 01 Réunion de 02 jours de coaching des entités opérationnellles (bureau de traitement des commandes, facturation, réapprovisionnement et gestion des stocks, expédition, CAAPCS...) à la cantine/WIB
*Pause café
*Pause-dejeuner
*Perdiems
*Carburant
15 personnes </t>
  </si>
  <si>
    <t xml:space="preserve">2.6-1.2 : Mise en place d'un GTT pour la collecte et l'analyse des données sur les circuits actuels de distirbution </t>
  </si>
  <si>
    <t>DPAS/DMOSE</t>
  </si>
  <si>
    <t xml:space="preserve">Données sur les circuits actuels de distirbution </t>
  </si>
  <si>
    <t>Disponibilité de circuits de distibution pour l'agence programme</t>
  </si>
  <si>
    <t>Optimisation des délais et des coûts de distribution au niveau périphérique</t>
  </si>
  <si>
    <t xml:space="preserve">Rapport d'analyse </t>
  </si>
  <si>
    <t>*Chronogramme de circuits de distribution
*compte-rendu de GTT</t>
  </si>
  <si>
    <t>2.6-1.3 : Apporter un appui technique et financier pour l'organisation d'un atelier d'élaboration des circuits et tournées spécifiques à l'agence programme</t>
  </si>
  <si>
    <t>Circuits de distribution actualisés</t>
  </si>
  <si>
    <t>Atelier de 05 jours avec 27 personnes à Yamoussoukro (Directrice DPAS; DMOSE : 1 CD, 1 CS, 1 CAACPS ; DGPP : 1 CD, 1 Exploitation, 1 Chef Expédition, 1 Chef Réappro Gestion de stock, 1 Préparateur de commande, 1 Responsable Télémarket, 1 Bureau traitement des commandes ; LHSPLA : 01 Directrice, 1 TPM, 2 CT CAD, 1 CS SE, 01 CD QAD,01 CS QAD, 2 Agents QAD, 1 personnel d'appui, 1 chauffeur; DEX:: 01 CD; Bouaké : 01 Exploitation, 02 agents; DAP : 1)
PEC : Location de salle, eau en salle, pause café, full perdiems, transport, carburant, péage</t>
  </si>
  <si>
    <t>2.6-2 : Suivre les performances de l'agence Programme et la DMOSE</t>
  </si>
  <si>
    <t>Cette activité devra permettre d'améliorer la satisfaction des clients directs de la NPSP</t>
  </si>
  <si>
    <t>Compte reunions de communcation de déployés des de l'Agence Programme e P améliorée</t>
  </si>
  <si>
    <t>Les performances de l'Agence programme sont optimisées</t>
  </si>
  <si>
    <t xml:space="preserve">*Délai moyen d'expertise * Délai moyen d'entrée en stock  *Taux de disponibilité des produits *Taux de satisfaction par la NPSP-CI sur les produits VIH et Malaria suivis dans le cadre du projet. *Respect des délais de livraison (agence d'Abidjan et agence de Bouaké) </t>
  </si>
  <si>
    <t>*Améliorer la disponibité et la distribution des produits des programmes aux sites clients directs
*Autonomie des analyses de la CAACPS des rapports commandes labo
*Célérité des approbations des commandes par la CAACPS</t>
  </si>
  <si>
    <t>Compte rendu de reunion</t>
  </si>
  <si>
    <t>*Compte rendu de reunion
*rapport d'orientation</t>
  </si>
  <si>
    <t>2.6-2.2 : Organiser des reunions mensuelles du Comité de Suivi-Evaluation de la CAACPS</t>
  </si>
  <si>
    <t>Les performances de la CAACPS sont améliorées</t>
  </si>
  <si>
    <t>*Niveaux d'approbation des commandes *Qualité des approbations</t>
  </si>
  <si>
    <t>Reunion à l'une des salles NPSP
Prise en charge de 16 participants
* Eau en salle
*Pause café
*Pause dejeuner</t>
  </si>
  <si>
    <t>2.6-2.3 : Diffuser de façon bi-mensuelle les données de distribution (taux de satisfaction, niveau d'exécution des plans d'allocation) aux parties prenantes à travers le bulletin.</t>
  </si>
  <si>
    <t xml:space="preserve">Bulletin </t>
  </si>
  <si>
    <t>2.6-2.4 : Renforcer les capacités de la CAACPS pour la prise en main de la gestion des produits de laboratoire dans le cadre des approbations</t>
  </si>
  <si>
    <t>Rapport capacités le communcation Rapport déployés commandes cadre des approbations s p améliorée</t>
  </si>
  <si>
    <t>Rapport d'orientation</t>
  </si>
  <si>
    <t xml:space="preserve">2.6-2.5 : Recruter un agent CAACPS </t>
  </si>
  <si>
    <t>Embauche de l' agent</t>
  </si>
  <si>
    <t>Augmentation  de la satisfaction des commandess</t>
  </si>
  <si>
    <t>Contrat d'embauche</t>
  </si>
  <si>
    <t>2.6-3 : Apporter un appui technique pour le traitement diligent des insuffisances constatées dans le processus de distribution</t>
  </si>
  <si>
    <t xml:space="preserve">2.6-3.1 :Faire le suivi auprès des entités de la NPSP concernées pour  le traitement des alertes émises lors du processus de distribution des produits </t>
  </si>
  <si>
    <t>Les insuffisances constatées soient traitées avec célérité</t>
  </si>
  <si>
    <t>*Taux de satisfaction des commandes des clients</t>
  </si>
  <si>
    <t>Améliorer la satisfaction des commandes des clients</t>
  </si>
  <si>
    <t>2.6-3.2 :Organiser un GTT sur la question des échecs de conversion de ESIGL à Sage X3 (LHSPLA, DSI, Agence Programme, SE, Autres parties prenantes)</t>
  </si>
  <si>
    <t>Les causes des echecs de conversion des commandes sont identifiées</t>
  </si>
  <si>
    <t>2.6-3.3 : Renforcer l'outil de satisfaction des commandes en incluant les notifications des alertes d'échecs des conversions des commandes.</t>
  </si>
  <si>
    <t>100% des commandes sont converties et traitées dans sage X3</t>
  </si>
  <si>
    <t>outil renforcé disponible</t>
  </si>
  <si>
    <t>2.6-4 : Apporter un appui technique pour disponibiliser les produits en quantité suffisante à l'approche des périodes critiques (inventaires de la NPSP, élections, etc)</t>
  </si>
  <si>
    <t>Cette activité, sous le lead de la DAP/CNCAM, devra permettre de renforcer la disponibilité des produits de santé au niveau des structures avant les inventaires</t>
  </si>
  <si>
    <t>2.6-4.1 : Organiser une réunion de détermination des besoins additionnels devant permettre de couvrir les périodes critiques identifiées</t>
  </si>
  <si>
    <t>La Disponibilité des produits sur les sites est améliorée</t>
  </si>
  <si>
    <t>*Taux de satisfaction des commandes 
*Taux de disponibilité des produits au niveau périphérique</t>
  </si>
  <si>
    <t>Disponibilité des produits sur les sites</t>
  </si>
  <si>
    <t>Plans d'allocations des PNS</t>
  </si>
  <si>
    <t>2.6-5 : Renforcer la gestion des produits de laboratoire en particulier de charge virale.</t>
  </si>
  <si>
    <t>Cette activité consiste à renforcer les capacités des agents du niveau central et du niveau périphérique.
En sus, des reunions de coordination seront organisées avec les acteurs de la coordination des activités de la charge virale pour discuter des difficultés liées à cette activité.
Durant cette année fiscale, l'innovation sera de procéder à la révision des indicateurs de rapportage des activités de laboratoire en vue de produire des données de qualité pour une meilleure prise de décision.</t>
  </si>
  <si>
    <t>2.6-5.1 : Organiser une séance d'orientation pour les responsables de pharmacie et les techniciens de laboratoire, chefs de produits charge virale (30 apprenants attendus).</t>
  </si>
  <si>
    <t xml:space="preserve">*30 Gestionnaires en Pharmacie et Techniciens de Laboratoire Responsables de la Charge Virale sont formés aux meilleures pratiques de laboratoire
*Tous les acteurs de la gestion logistique des produits de laboratoire (charge virale) ont partagé leur expérience en matière de meilleures pratiques
</t>
  </si>
  <si>
    <t>*Les laboratoires de charge virale/EID sont visités et le personnel est formé aux meilleures pratiques de laboratoire
*Tous les acteurs de la gestion logistique des produits de laboratoire (charge virale) ont partagé leur expérience en matière de meilleures pratiques et des solutions aux insuffisances sont identifiées
*Les sites à faibles performances sont identifiés</t>
  </si>
  <si>
    <t>*Taux de rupture de stocks</t>
  </si>
  <si>
    <t>La gestion des produits de laboratoire est optimale dans toutes les structures de prise en charge en particulier les plateformes de la charge virale.</t>
  </si>
  <si>
    <t>Rapports d'atelier</t>
  </si>
  <si>
    <t xml:space="preserve"> * 1 Ateliers de 3 jours par atelier avec 60 personnes : 10 formateurs, 25 participants) 
Rubrique prise en charge LHSPLA
*Carburant pour les chefs de département NPSP et hors NPSP
*Perdiem pour tous les participants
 *Péages 
*Pause café  
*Frais de transport des participants 
*Location Salle de conférence 
*Eau en salle *Fournitures de bureau *Autres frais</t>
  </si>
  <si>
    <t>2.6-5.2: Réaliser trois missions de supervision pour les laboratoires de charge virale.</t>
  </si>
  <si>
    <t>*Les laboratoires de charge virale/EID sont visités et le personnel est formé aux meilleures pratiques de laboratoire</t>
  </si>
  <si>
    <t>Rapport de supervision</t>
  </si>
  <si>
    <t>*Rapports de formation
*Rapport de supervision
*Rapport d'inventaire</t>
  </si>
  <si>
    <t>* 03 missions de supervision
Frais LHSPLA *Carburant pour deux véhicules dont 01 de type 4x4 en location   *Perdiem pour 3 superviseurs  et un chauffeur 
*Péage 
*Frais de communication *Autres frais</t>
  </si>
  <si>
    <t>2.6-5.3: Diffuser chaque mois aux parties prenantes une analyse de la gestion des produits de charge virale sur les plateformes.</t>
  </si>
  <si>
    <t>Les sites à faibles performances sont identifiés</t>
  </si>
  <si>
    <t>Rapport mensuel d'activité</t>
  </si>
  <si>
    <t xml:space="preserve">2.6-5.4 : Oganiser une réunion annuelle regroupant LHSPLA, PNLS, CDC/RETROCI, PMO et les responsables de la gestion logistique des produits de charge virale pour l'identification des solutions aux insuffisances rélevées aux niveau des structures </t>
  </si>
  <si>
    <t>*Tous les acteurs de la gestion logistique des produits de laboratoire (charge virale) ont partagé leur expérience en matière de meilleures pratiques et des solutions aux insuffisances sont identifiées</t>
  </si>
  <si>
    <t xml:space="preserve"> 02 Réunions consécutives de 03 jours à Yamoussoukro  (33 personnes 1er Grpe, 35 personnes 2 è grpe):
Frais LHSPLA 
*Perdiem  pour les participants LHSPLA et partie nationale 
* Péages 
* Frais de communication *tranasport 
* location de salle *Autres frais</t>
  </si>
  <si>
    <t xml:space="preserve">2.6-5.5 : Apporter un appui technique au PNLS pour l'organisation de réunions périodiques du GTT Labo/PNLS pour l'analyse de la disponibilité et la gestion  des produits de laboratoire en particulier ceux de la charge virale </t>
  </si>
  <si>
    <t>*L'analyse de la disponibilité et la gestion des produits de laboratoire est effectuée
*Des recommandations sont formulées</t>
  </si>
  <si>
    <t xml:space="preserve">2.6-5.6 : Apporter un appui technique pour l'inventaire des équipements de chambre froide (Moniteurs de température, Gels eutectiques, conteners isothermes,....) et l'évaluation des besoins nécessaires au stockage et à la distribution optimale des produits thermosensibles </t>
  </si>
  <si>
    <t>Taux de disponibilité des :
*moniteurs de température
*gels eutectiques
*conteneurs isothermes</t>
  </si>
  <si>
    <t>Rapport d'inventaire
Rapport d'évaluation</t>
  </si>
  <si>
    <t>Cette activité consiste à renforcer les capacités des agents du niveau central et du niveau périphérique.
En sus, des reunions de coordination seront organisées avec les acteurs de la coordination des activités de la charge virale pour discuter des difficultés liées à cette activité.
Durant cette année fiscale, l'innovation sera de définir des indicateurs en liens avec le transport des produits de laboratoire thermosensibles en vue de produire des données sur la qualité de charge virale thermosensibles.</t>
  </si>
  <si>
    <t>2.6-5.7 : Acquérir des gels eutectiques(200), des moniteurs de températures ou data logeur à QR code (50) et conteneurs isothermes (10)</t>
  </si>
  <si>
    <t>31/03/2026</t>
  </si>
  <si>
    <t>*Nombre de gels eutectiques acquis
*Nombre de moniteurs de température acquis
*Nombre de conteneurs isothermes acquis</t>
  </si>
  <si>
    <t>Liste validée des équipements à acquérir</t>
  </si>
  <si>
    <t>*moniteurs de température=95 000 FCFA
*Conteneurs isothermique 60L=450 000NFCFA
*Gels eutectiques=4 500 FCFA/gel</t>
  </si>
  <si>
    <t>2.6-5.8: Organiser deux sessions d'orientation de 05 journées des Acteurs de la gestion logistique des produits de charge virale à l'utilisation de l'Application Laboratory Data Collector-LDC</t>
  </si>
  <si>
    <t xml:space="preserve">02 ateliers de 05 jours avec 02 formateurs et 35 participants des plateformes:
location de salle
Pause café
fulls perdiems
Transport
</t>
  </si>
  <si>
    <t>2.6-5.9: Organiser quatre sessions d'orientation des Acteurs de la gestion logistique des produits de charge virale/EID sur mPima à l'utilisation de l'Application Laboratory Data Collector-LDC</t>
  </si>
  <si>
    <t>Données disponibles et exploitables pour un meilleur suivi des produits de charge virale et EID</t>
  </si>
  <si>
    <t>Rapport des formations</t>
  </si>
  <si>
    <t>4 sessions de formations</t>
  </si>
  <si>
    <t>2.6-6 : Apporter un appui pour l' harmonisation des désignations des produits de l'index pharmaceutiques 2026 (Base Sage X3)
Désignation à la molécule / Conditionnement</t>
  </si>
  <si>
    <t>Cette activité devra permettre d'harmoniser la désignation des produits de santé dans la Base Sage X3.</t>
  </si>
  <si>
    <t>2.6-6.1: Apporter un appui technique et financier pour l'organisation d'un atelier d'harmonisation des désignations des produits dans la base Sage X3</t>
  </si>
  <si>
    <t>Les désignations des produits sont harmonisées dans Sage X3</t>
  </si>
  <si>
    <t>Amélioration de la satisfaction des commandes clients</t>
  </si>
  <si>
    <t>Atelier de 05 jours avec 33 personnes</t>
  </si>
  <si>
    <t>2.6-7: Apporter un appui pour la révision de la composition des kits obstétricaux</t>
  </si>
  <si>
    <t>Cette activité devra permettre une révision de la composition de la composition des kits obstétricaux pour tenir compte de nouveaux produits comme la carbetocine ne necessitant pas de chaine de froid pour le stockage</t>
  </si>
  <si>
    <t>2.6-7.1: Apporter un appui pour l'organisation d'un atelier de révision de la composition des kits obstétricaux.</t>
  </si>
  <si>
    <t>La composition des kits obstétricaux est révisée</t>
  </si>
  <si>
    <t>Atelier de 05 jours avec 37 personnes</t>
  </si>
  <si>
    <t>2.6-8 : Apporter un appui technique et financier dans la distribution des produits en situation d'urgence</t>
  </si>
  <si>
    <t>Cettte activité a pour but de faciliter la distribution des produits de santé en situation d'urgence sur la base des procédures validées</t>
  </si>
  <si>
    <t>2.6-8.1: Organiser un atelier de validation technique des procédures de distribution des produits en situation d'urgence</t>
  </si>
  <si>
    <t>Les procédures de distribution et les moyens financiers existent pour les distributions en urgence</t>
  </si>
  <si>
    <t>*Taux de rupture des stock
*Taux de satisfaction des commandes</t>
  </si>
  <si>
    <t>Assurer la distribution des produits en situation d'urgence</t>
  </si>
  <si>
    <t>Manuel de procédure</t>
  </si>
  <si>
    <t>Training, seminars &amp; workshop</t>
  </si>
  <si>
    <t>*Atelier de 3 jours regroupant 29 personnes
Rubrique prise en charge
*Location de salle
*Forfait carburant et full perdiem Chef de département Bouaké
*Frais péage
*Fournitures de bureau
*Pause café, pause dejeuner, eau en salle
*Forfait transport participants
*Autres frais</t>
  </si>
  <si>
    <t>2.6-9 : Apporter un appui technique pour le développement d'une application Web pour les activités de la CAACPS</t>
  </si>
  <si>
    <t>Cette activité a pour but de formaliser et valider les besoins fonctionnels et les conditions de démarrage du développement de l'outil CAACPS</t>
  </si>
  <si>
    <t>2.6-9.1 : Apporter un appui technique pour le développement d'une application Web pour les activités de la CAACPS</t>
  </si>
  <si>
    <t>• Cahier des charges fonctionnel et technique de l'application web de distribution validé
• Spécifications de déploiement définies et approuvées par la NPSP
• Document de référence technique disponible pour le développement de l'application
• Conditions de déploiement et architecture système formalisées</t>
  </si>
  <si>
    <t>• Besoins fonctionnels et conditions de déploiement de l'application web formalisés et validés
• Document de spécifications disponible comme référence pour le développement
• Application web opérationnelle pour la gestion et le suivi des activités de distribution NPSP
• Processus de distribution mieux documentés et traçables grâce à l'outil</t>
  </si>
  <si>
    <t>Amélioration de la disponibilité des produits de santé au niveau périphérique grâce à l'amélioration de la qualité des données logistiques, la réduction des délais d'approbation des rapports-commandes et un pilotage basé sur les données</t>
  </si>
  <si>
    <t>Rapport d'activité</t>
  </si>
  <si>
    <t>OS 3: COORDONNER (AVEC DES AGENTS DE DÉDOUANEMENT TIERS) LE DÉDOUANEMENT DES PRODUITS ACHETÉS DANS LE CADRE D'AUTRES PROJETS DE SANTÉ FINANCÉS PAR LE GOUVERNEMENT AMÉRICAIN POUR LA CÔTE D'IVOIRE, TELS QUE LA CHAÎNE D'APPROVISIONNEMENT GLOBAL EN PRODUITS DE SANTÉ - GESTION DES ACHATS ET DES APPROVISIONNEMENTS ; LA CHAÎNE D'APPROVISIONNEMENT EN PRODUITS DE SANTÉ - KITS DE TEST RAPIDE ; ET, À TERME, LE MÉCANISME NEXµTGEN DE L'USAID, À PARTIR DE 2024.</t>
  </si>
  <si>
    <t>OO 3.1 : Organiser l'achat de produits de santé par un dispositif transparent.</t>
  </si>
  <si>
    <t>3.1-1 : Organiser l'achat des produits financés par le PEPFAR à travers LHSPLA.</t>
  </si>
  <si>
    <t>Cette activité consiste à réaliser les différentes étapes du processus de passation des commandes sur le budget LHSPLA, dans les meilleurs délais et dans le respect des procédures.</t>
  </si>
  <si>
    <t>3.1-1.1 : Organiser le sourcing des marchés à attribuer.</t>
  </si>
  <si>
    <t>Exécuter 100% des planifications budgétisées LHSPLA suivant une procédure transparente</t>
  </si>
  <si>
    <t>Disponibilité des produits de qualité</t>
  </si>
  <si>
    <t>Mails de demande de proformas, proformas, Etat de décomposition</t>
  </si>
  <si>
    <t>Bons de commande, Proforma, Factures définitives</t>
  </si>
  <si>
    <t>3.1-1.2 : Organiser l'approbation des formulaires par la Directrice Projet et PEPFAR.</t>
  </si>
  <si>
    <t>Formulaires d'approbation</t>
  </si>
  <si>
    <t>3.1-1.3 : Suivre la transmission et l'exécution des commandes et réactifs et consommables de laboratoire</t>
  </si>
  <si>
    <t>Bons de commande</t>
  </si>
  <si>
    <t>Acquisition de réactifs et consommables de laboratoire</t>
  </si>
  <si>
    <t>3.1-1.4 : Suivre la production des kits IST</t>
  </si>
  <si>
    <t>Proforma, Factures définitives</t>
  </si>
  <si>
    <t>Acquisition de kits IST</t>
  </si>
  <si>
    <t>OO 3.2 : Assurer le suivi des expéditions, des opérations de transit et des enlèvements.</t>
  </si>
  <si>
    <t>3.2-1 : Organiser le dédouanement et l'enlèvement des colis.</t>
  </si>
  <si>
    <t>Cette activité consiste à faciliter les opérations de dédouanement en obtenant les autorisations d'importation et d'enlevement et en établissant les différents ordres de transit et en les transmettant aux commissionnaires agréés en douane (CAD).</t>
  </si>
  <si>
    <t>3.2-1.1 : Etablir et obtenir les autorisations d'importation et d'enlevement auprès de l'AIRP</t>
  </si>
  <si>
    <t>Livrer au moins 90% des colis PEPFAR expédiés dans les délais</t>
  </si>
  <si>
    <t>Pourcentage de commandes livrées à Nouvelle PSP-CI dans les 10 jours suivant l'arrivée du produit en Côte d'Ivoire</t>
  </si>
  <si>
    <t>Disponibilité rapide des produits dans les entrepôts NPSP</t>
  </si>
  <si>
    <t>Copie des autorisations d'importation et d'enlevement</t>
  </si>
  <si>
    <t>Ordres de transit (OT)</t>
  </si>
  <si>
    <t>3.2-1.2 : Mettre à disposition des transitaires la documentation requise pour organiser le dédouanement et l'enlèvement des colis</t>
  </si>
  <si>
    <t>3.2-2 : Assister l'enlèvement des produits de santé.</t>
  </si>
  <si>
    <t>Cette activité consiste à assister les commissionnaires agréés en douane et les transporteurs, et à assurer la coordination entre ces derniers et la Direction de l'Exploitation Logistique Pharmaceutique pour garantir une livraison des colis expédiés dans les meilleurs délais.</t>
  </si>
  <si>
    <t>3.2-2.1 : Assurer l'enlèvement des colis dans les dix (10) jours suivant l'arrivée du produit en Côte d'Ivoire</t>
  </si>
  <si>
    <t>Fichier Suivi Expéditions</t>
  </si>
  <si>
    <t>OS 4 : SOUTENIR LE GOCI EN METTANT EN ŒUVRE ET EN MAINTENANT LE SYSTÈME ÉLECTRONIQUE D’INFORMATION DE LA GESTION LOGISTIQUE (eLMIS) POUR LES PRODUITS DE SANTÉ ET L'OUTIL DE GESTION ELECTRONIQUE DES STOCKS (mSupply) AU NIVEAU NATIONAL.</t>
  </si>
  <si>
    <t>OO 4.1 : Assurer l'utilisation correcte de e-LMIS et de mSupply et soutenir l'extension de mSupply.</t>
  </si>
  <si>
    <t>4.1.1 : Mise à échelle de la solution Open mSupply</t>
  </si>
  <si>
    <t>Cette activité vise à assurer  l'utilisation rigoureuse de Open mSupply et une remontée efficiente des données d'utilisation.  Des supervisions formatives, et l'appui en connexion internet de sites permettront d'améliorer l'utilisation de l'application Open mSupply</t>
  </si>
  <si>
    <t>4.1-1.1 : Organiser un (01) GTT d'élaboration de la méthodologie d'analyse et d'épuration des données</t>
  </si>
  <si>
    <t>1 GTT est réalisé et la méthodologie d'analyse et d'épuration des données est connue</t>
  </si>
  <si>
    <t>La mise à l’échelle de la solution Open mSupply  permettra de renforcer les capacités nationales, d’améliorer la qualité des données et d’assurer une transmission régulière des informations grâce à des sites fonctionnels, connectés et pleinement opérationnel:
100 % des GTT réalisés
95 % des données incohérentes analysées et transmises
100 % des participants formés maîtrisent l’outil
100 % des sites planifiés visités
95 % des fonctionnalités clés évaluées avec recommandations
≥ 90 % des sites financés connectés et transmettant régulièrement les données</t>
  </si>
  <si>
    <t>Nombre de GTT réalisés / Nombre de GTT prévus</t>
  </si>
  <si>
    <t>* Visibilité des données des ESPC depuis le niveau central
*Amélioration de la prise de décision par les districts, régions et niveau central
 * Amélioration de la disponibilité des stocks
* Réduction des ruptures</t>
  </si>
  <si>
    <t>Rapport des GTT</t>
  </si>
  <si>
    <t>Rapport de suivi de la mise à échelle</t>
  </si>
  <si>
    <t>4.1-1.2 : Réaliser un atelier de transfert de compétences de l'architecture de la base de données mSupply</t>
  </si>
  <si>
    <t>les agents SI LHSPLA sont capables d'extraire et d'exploiter la base de données mSUPPLY</t>
  </si>
  <si>
    <t>La mise à l’échelle de la solution Open mSupply  permettra de renforcer les capacités nationales, d’améliorer la qualité des données et d’assurer une transmission régulière des informations grâce à des sites fonctionnels, connectés et pleinement opérationnel:
95 % des données incohérentes analysées et transmises
100 % des participants formés maîtrisent l’outil
100 % des sites planifiés visités
95 % des fonctionnalités clés évaluées avec recommandations
≥ 90 % des sites financés connectés et transmettant régulièrement les données</t>
  </si>
  <si>
    <t>Nombre de données incohérentes / Nombres de données épurées</t>
  </si>
  <si>
    <t xml:space="preserve">Rapport d’atelier </t>
  </si>
  <si>
    <t xml:space="preserve">1 atelier /  hors Abidjan / 13 participants (NPSP/LHSPLA/DIS/DISD)
full perdiems : 3 510 000
Forfait carburant : 332 000
Location salle : 597 500
Forfait transport : 160 000
Location véhicule 490000
Eau en salle : 65 000
pause café : 650 000
Frais de transfert de fonds : 40 020
</t>
  </si>
  <si>
    <t>4.1-1.3 : Organiser des sessions de formations des formateurs nationaux  (points focaux mSupply des DS) à la version open mSupply</t>
  </si>
  <si>
    <t>100 % des participants formés maîtrisent l’outil Open mSupply
120 participants deviennent formateurs nationaux</t>
  </si>
  <si>
    <t>Nombre de participants ayant reussi le test final/ nombre de participants</t>
  </si>
  <si>
    <t>Des sessions formations  hors Abidjan de 120 participants (NPSP/LHSPLA/DIS/DISD) dont le budget est reparti comme suit :
full perdiems : 23480000
Forfait carburant : 1 162 000
Location salle : 3 226 500
Forfait transport : 2 820 000
Location véhicule 2 100 000
Eau en salle : 738 000
pause café : 7 380 000
Frais de transfert de fonds : 287220
Honoraires formateurs : 1 260 000
DR : 25 250</t>
  </si>
  <si>
    <t>4.1-1.4 : Réaliser deux  (02)  supervisions formatives par le GTT mSupply dans huit (08) districts.</t>
  </si>
  <si>
    <t>100% des sites planifiés sont visités et remis à niveau</t>
  </si>
  <si>
    <t>Nombre de sites supervisés / nombre de sites planifiés</t>
  </si>
  <si>
    <t>*Grille de supervision
*Rapport de supervision</t>
  </si>
  <si>
    <t>Une mission de supervision composé de huit (08) équipes de deux (02) superviseurs par sites, avec deux (02) équipes de coordinnation constitué de deux (02) coordinnateur pour chaque équipe par axe.
full perdiems : 11 076 000
Forfait carburant : 3 320 000
Forfait transport participants : 240 000
Forfait communication : 600 000
Location véhicule9 800 000
Forfait collation : 160 000
Frais de transfert de fonds : 153 960</t>
  </si>
  <si>
    <t>4.1-1.5 : Réaliser un (1) atelier de tests unitaires d'interopérabilité (UAT).</t>
  </si>
  <si>
    <t xml:space="preserve">
95 % des fonctionnalités clés évaluées avec recommandations</t>
  </si>
  <si>
    <t>Nombre de cas test reussi / Nombre de cas de test realisé</t>
  </si>
  <si>
    <t xml:space="preserve">1 atelier / hors Abidjan / 16 participants (NPSP/LHSPLA/DIS/DISD)
full perdiems : 5 285 000
Forfait carburant : 415 000 
Location salle : 597 500
Forfait transport : 220 000
Location véhicule 490 000
Eau en salle : 85 000
pause café : 850 000 
Frais de transfert de fonds : 56 900
</t>
  </si>
  <si>
    <t>4.1-1.6 : Financer l'abonnement internet de 102 sites mSupply pour la remontée des données au niveau central</t>
  </si>
  <si>
    <t> ≥ 90 % des sites financés connectés et transmettant régulièrement les données</t>
  </si>
  <si>
    <t xml:space="preserve">*Nombre de sites bénéficiant effectivement de l’abonnement/ Nombre de sites actifs </t>
  </si>
  <si>
    <t>13000FCFA/mois pendant 12 mois pour 102 sites mSupply</t>
  </si>
  <si>
    <t>4.1-1.7 : Réaliser un atelier de transfert de compétences de niveau 3 sur l'administration serveur par la fondation mSupply</t>
  </si>
  <si>
    <t>28/2/2026</t>
  </si>
  <si>
    <t>Rapport de l'atelier</t>
  </si>
  <si>
    <t xml:space="preserve">4.1-1.8 : Réaliser un atelier d'épuration de la base de données mSupply </t>
  </si>
  <si>
    <t xml:space="preserve">1 atelier / hors Abidjan / 13 participants (NPSP/LHSPLA/DIS/DISD)
full perdiems : 4 230 000
Forfait carburant : 415 000
Location salle : 597 500
Forfait transport : 140 000
Location véhicule 490000
Eau en salle : 70 000
pause café : 700 000
Frais de transfert de fonds : 47 850
</t>
  </si>
  <si>
    <t>4.1-1.9 : Réaliser deux (02) GTT de révision des indicateurs du tableau de bord mSupply</t>
  </si>
  <si>
    <t>2 GTT / 2 jours par GTT / 13 participants (NPSP/LHSPLA/DAP/DIS/DISD)</t>
  </si>
  <si>
    <t>4.1-1.10 : Atelier de validation des indicteurs revisés du tableau de bord mSupply</t>
  </si>
  <si>
    <t>Les indicateurs des 5 tableaux de bord mSupply sont révisés</t>
  </si>
  <si>
    <t>1 atelier / hors Abidjan / 3 jours / 29 participants (DGS, DG, DLHSPLA, DDAP, DDPAS, LHSPLA, NPSP, DRSHPCMU, DAP, DIS)
full perdiems / frais de carburant / location de salle / pause-café</t>
  </si>
  <si>
    <t>4.1-1.11 : Participer à la migration des sites à l'Open mSupply</t>
  </si>
  <si>
    <t>40 districts sont migrés à l'Open mSupply, soit 35% du taux de migration global</t>
  </si>
  <si>
    <t>Rapport de migration</t>
  </si>
  <si>
    <t>4.1-1.12</t>
  </si>
  <si>
    <t>4.1-1.12 : Reliquat Open mSupply</t>
  </si>
  <si>
    <t>4.1-2 : Assurer l'assistance aux utilisateurs eSIGL et mSupply</t>
  </si>
  <si>
    <t>4.1-2.1 : Assister les utilisateurs de eSIGL et mSupply et produire un rapport de gestion des incidents.</t>
  </si>
  <si>
    <t>Rapport utilisateurs le communcation et déployés de gestion des incidents. tio améliorée</t>
  </si>
  <si>
    <t>L’assistance technique assurée pemettra une résolution efficace des incidents (95 % pour eSIGL et 80 % pour mSupply), une réduction significative des dysfonctionnements techniques, une amélioration de la continuité du service sur les sites ciblés</t>
  </si>
  <si>
    <t xml:space="preserve">*Nombre de tickets résolu dans le délai / 
Nombre de ticket recu </t>
  </si>
  <si>
    <t>*Amélioration de la réactivité et de la qualité de l’assistance technique apportée aux utilisateurs
*Capacité les gestionnaires
*Amelioration du taux d'utilisation de mSupply</t>
  </si>
  <si>
    <t>Rapport trimestriel de gestion d'incident et demande
Recu de communication</t>
  </si>
  <si>
    <t>Rapport annuel d'assistance eSIGL et mSupply</t>
  </si>
  <si>
    <t>04 agents SI et le point focal GIMS / 20000 FCFA par mois sur 12 mois par agent</t>
  </si>
  <si>
    <t>4.1-2.2 :Elaborer un module e-learning Open mSupply</t>
  </si>
  <si>
    <t>un module e-learning Open mSupply est élaboré</t>
  </si>
  <si>
    <t>Nombres de modules développés / Nombres de modules soumis</t>
  </si>
  <si>
    <t>Rapport de recette</t>
  </si>
  <si>
    <t>1 GTT / 10 personnes
1 atelier / hors Abidjan / 3 jours / 11 personnes / frais de carburant / forfait transport / full perdiems / frais de transfert de fonds</t>
  </si>
  <si>
    <t>Cette activité vise à établir un système d'assistance robuste et efficace pour les utilisateurs des plateformes eSIGL et  mSupply.
Cela passe par la formation du staff, des missions de résolution d'incidents et de visites de sites, le renforcement du satff d'assistance.</t>
  </si>
  <si>
    <t>4.1-2.3 : Apporter un appui en communication à l'équipe projet mSupply pour l'assistance aux utilisateurs</t>
  </si>
  <si>
    <t>Rechargement de 10000 pour 15 staff de l'équipe projet pendant 12 mois DAP/DISD/DIS</t>
  </si>
  <si>
    <t xml:space="preserve">Recu de communication </t>
  </si>
  <si>
    <t>15 personnes / 10 000 FCFA par mois sur 12 mois. 
DAP / DIS / DISD</t>
  </si>
  <si>
    <t>4.1-2.4 : Mission de visite de site mSupply</t>
  </si>
  <si>
    <t>30/08/2025</t>
  </si>
  <si>
    <t>Effectuer une visite de site de cinq (05)  jours chaque trimestre dans
 03 districts sanitaires.
Chaque equipe sera constituée de deux (02) personnes</t>
  </si>
  <si>
    <t>*Nombre de sites visités/Nombre de sites prévus</t>
  </si>
  <si>
    <t>rapport de mission</t>
  </si>
  <si>
    <t>03 districts sanitaires / chaque trimestre / 05 jours par visite / 02 personnes par équipe</t>
  </si>
  <si>
    <t>4.1-2.5: Renforcement du dispositif de communication et de veille régionale sur mSupply</t>
  </si>
  <si>
    <t>Mise en place d’un dispositif d’échange fonctionnel regroupant 10 groupes WhatsApp régionaux et 1 canal national de coordination. Chaque groupe opérationnel permet une remontée d’incidents en moins de 48 heures.</t>
  </si>
  <si>
    <t xml:space="preserve">Nbre de groupes crééer et actifs/ nombre de groupes attendus
% d'incidents récurrents&lt;à 10%
</t>
  </si>
  <si>
    <t>Améliorer la rapidité et la fiabilité de la communication entre les régions et le niveau central, permettant une réaction plus proactive face aux incidents techniques ou fonctionnels de mSupply.</t>
  </si>
  <si>
    <t>Rapport de mise en œuvre du dispositif de communication régionale mensuel</t>
  </si>
  <si>
    <t>4.1-2.6 : Session d'orientation des visiteurs médicaux à la prise en main de mSupply</t>
  </si>
  <si>
    <t>Orientation de 20 visiteurs médicaux NPSP</t>
  </si>
  <si>
    <t>1 session à Abidjan / frais de carburant / pause-café / pause-déjeuner / frais de transfert de fonds
1 session à Bouaké / frais de carburant / pause-café / pause-déjeuner / frais de transfert de fonds</t>
  </si>
  <si>
    <t>4.1-2.7 : Atelier de recette des modules elearning Open mSupply</t>
  </si>
  <si>
    <t>le module Open mSupply fonctionn et est réceptionné</t>
  </si>
  <si>
    <t>1 atelier / Hors Abidjan
15 participants / location de salle / full perdiems / eau en salle / pause-café / frais de tranfert de fonds</t>
  </si>
  <si>
    <t>4.1-3 : Apporter un appui technique et financier à la DIS et la DAP pour la mise en oeuvre du SIGL intégré</t>
  </si>
  <si>
    <t>Le SIGL intégré de l'ensemble des PNS élaboré depuis 2019 a été revisé au cours du FY25 pour la prise en compte des nouvelles dispositions dans la gestion logistique (mSupply, distribution au dernier km, agence programme, distribution hebdomadaire par la NPSP...). Pour cette année FY26, LHSPLA acccompagnera la mise en oeuvre de ce document strategique en apportant l'appui à l'elaboration des plaquettes et leur repprographie, à l'elaboration des modules eLerning et à son adaptation dans eSIGL et dans Open mSupply</t>
  </si>
  <si>
    <t>4.1-3.1 : Organiser 1 GTT de 3 jours pour la conception des plaquettes</t>
  </si>
  <si>
    <t>Draft de plaquette</t>
  </si>
  <si>
    <t>3000 plaquettes disponibles</t>
  </si>
  <si>
    <t>Nombre de personnes formées au SIGL Integré</t>
  </si>
  <si>
    <t>Amelioration et harmonisation des pratiques de gestion des produits de santé</t>
  </si>
  <si>
    <t>Outils de formations et d'apprentissage du SIGL integré: Plaquette, Module eLearning</t>
  </si>
  <si>
    <t>4.1-3.2 : Organiser un atelier d'elaboration des plaquettes</t>
  </si>
  <si>
    <t>Plaquettes elaborées</t>
  </si>
  <si>
    <t>4.1-3.3 : Reprographier 3000 documents du SIGL Integré</t>
  </si>
  <si>
    <t>1000 livres et 2000 plaquettes du SIGL Integré disponibles</t>
  </si>
  <si>
    <t>2000 plaquettes à raison de 5000 FCFA chacune et 1000 livres à 5000 chacun</t>
  </si>
  <si>
    <t>4.1-3.4 : Organiser des séances d'élaboration de modules en learning</t>
  </si>
  <si>
    <t>Draft de modules du SIGL integré</t>
  </si>
  <si>
    <t>Modules du SIGL Integré disponible</t>
  </si>
  <si>
    <t>3 réunions de 15 participants avec la DIS, DAP, NPSP, PNS
Pause-déjeuner / pause-café / forfait transport de 12 participants</t>
  </si>
  <si>
    <t>4.1-3.5 : Organiser 01 atelier pour la production des modules de formation</t>
  </si>
  <si>
    <t xml:space="preserve">320 gestionnaires formés </t>
  </si>
  <si>
    <t>Modules du SIGL integré validés</t>
  </si>
  <si>
    <t>1 atelier / hors-Abidjan / 15 participants (dont 4 chefs de departement ou assimilés)
full Perdiem / carburant / location de salle / frais de transfert de fonds</t>
  </si>
  <si>
    <t xml:space="preserve"> OO 4.2: Optimiser l'application de la production de données logistiques et améliorer la prise de décision fondée sur des données probantes.</t>
  </si>
  <si>
    <t>4.2-1 : Mettre en œuvre le support technique eSIGL.</t>
  </si>
  <si>
    <t>Travailler avec une équipe d'assistance pour assurer le support de niveau 3.
L’assistance est organisée en niveaux de gradation (escalade) dont ce support est le dernier niveau. L’intervention de celui-ci va au-delà de la maintenance de la solution électronique ou de la licence. Un recours à JSI sera nécessaire pour les configurations profondes et les dépannages de niveau 3 d’où la signature d’un avenant au contrat initial et le paiement annuel d'une assistance</t>
  </si>
  <si>
    <t>4.2-1.1 : Financer le contrat d'assistance annuel de support de niveau 3.</t>
  </si>
  <si>
    <t>*Rapport contrat le communcation de déployés utilisation support de niveau 3.  su améliorée</t>
  </si>
  <si>
    <t>Le processus d’évolution fonctionnelle de la plateforme eSIGL sera renforcé à travers le traitement structuré de 80 % des demandes de mise à niveau, tout en développant les compétences des administrateurs de la NPSP pour assurer de manière autonome les adaptations et les améliorations techniques nécessaires, garantissant ainsi une réponse continue et pertinente aux besoins du système</t>
  </si>
  <si>
    <t>*Nombre de demandes d'évolutions fonctionnelles réalisées / le nombre d'évolutions fonctionnelles prévues.
* Taux d'utilisation de l'eSIGL = (Nombre de sites utilisant l'eSIGL sur la période) / (Nombre total de sites attendus)</t>
  </si>
  <si>
    <t>*Développer les capacités de résolution autonome des incidents techniques complexes.
*Assurer une documentation et un partage de connaissances pour renforcer l’efficacité des interventions futures 
*Disponibilité améliorée des applications 
*Amélioration du taux d'utilisation</t>
  </si>
  <si>
    <t>Contrat JSI validé</t>
  </si>
  <si>
    <t>*Rapport trimestrielle de suivi  de mise en œuvre
*Rapport de formation</t>
  </si>
  <si>
    <t>Contractualisation</t>
  </si>
  <si>
    <t>OO 4.2: Optimiser l'application de la production de données logistiques et améliorer la prise de décision fondée sur des données probantes.</t>
  </si>
  <si>
    <t>4.2-1.2 : Suivre le traitement des demandes d'évolutions fonctionnelles.</t>
  </si>
  <si>
    <t>nombre de demandes d'évolutions traité/nombre de demandes d'évolution soumis</t>
  </si>
  <si>
    <t>*rapport mensuel de suivi de réalisation des demandes des évolutions fonctionnels</t>
  </si>
  <si>
    <t>4.2-1.3 : Organiser un atelier de transfert de compétence de developpement  aux administrateurs eSIGL de la NPSP</t>
  </si>
  <si>
    <t>*Rapport atelier un communcation de déployés techniques de la NPSP ist améliorée</t>
  </si>
  <si>
    <t>Nombre de personnes ayant réussi au post test /
Nombre de personne formé</t>
  </si>
  <si>
    <t xml:space="preserve">Rapport de formation
Rapport d'atelier
</t>
  </si>
  <si>
    <t>1 atelier / Abidjan / 12 participants / 5 jours
(NPSP / DIS / DAP / DISD)</t>
  </si>
  <si>
    <t>4.2-1.4 : Organiser un atelier de transfert de compétence  sur l'administration serveur  aux administrateurs eSIGL de la NPSP</t>
  </si>
  <si>
    <t>*Rapport atelier un communcation de déployés techniques de la NPSP ur  améliorée</t>
  </si>
  <si>
    <t>Nombre de personnes ayant réussi au post test /
Nomnbre de personne formé</t>
  </si>
  <si>
    <t>4.2-2 :  Harmoniser et synchroniser les données de référence entre les applications du systèmes sanitaires</t>
  </si>
  <si>
    <t>Dans le cadre du renforcement de l’unification des systèmes d'information sanitaires, il est crucial de garantir l’harmonisation et la cohérence des données de référence utilisées à travers les différentes applications telles que eSIGL, mSupply, DHIS2, et d'autres plateformes nationale</t>
  </si>
  <si>
    <t>4.2-2.1 : Révision du paramétrage de eSIGL et mSupply conformement aux recommandations du SIGL intégré.</t>
  </si>
  <si>
    <t xml:space="preserve">100 % des rapports commandés seront mis à jour conformément aux recommandations du SIGL intégré ; 100 % des données de base des utilisateurs (noms, rôles, comptes, affectations) seront revues et actualisées ; et 100 % des programmes gérés par les clients directs seront configurés correctement dans eSIGL. De plus, un atelier permettra de produire une cartographie claire des flux de données et des besoins d’interopérabilité, facilitant l’intégration future entre eSIGL et d'autres systèmes de santé. </t>
  </si>
  <si>
    <t>Nombre de recommandation mise en œuvre/Nombre de recommandation prévu</t>
  </si>
  <si>
    <t>Amélioration de la qualité et de la fiabilité des données
Renforcement de la sécurité et du contrôle d’accès
Meilleure coordination entre la NPSP-CI et ses clients directs</t>
  </si>
  <si>
    <t>*Rapport trimestriel de suivi  de mise en œuvre
*Rapport de formation</t>
  </si>
  <si>
    <t xml:space="preserve">1 atelier hors-abidjan / 16 participants (NPSP / DIS / DISD)
full perdiems : 7 750 000
Forfait carburant : 1 079 000
Location salle : 1 254 750
Forfait transport :140 000
Location véhicule: 490 000
Eau en salle : 150 000
pause café : 1 500 000
Frais de transfert de fonds : 89 690
</t>
  </si>
  <si>
    <t>4.2-2.2 : Atelier de réflexion sur mutualisation des outils numériques pour un système d'information sanitaire intégré.</t>
  </si>
  <si>
    <t>Rapport réflexion de communcation Rapport déployés des d'information sanitaire intégré. e d améliorée</t>
  </si>
  <si>
    <t>Nombre de flux de données identifiés, documentés et validés lors de l’atelier</t>
  </si>
  <si>
    <t>4.2-2.3 : Atelier de formation des PNS à mSupply (Open mSupply)</t>
  </si>
  <si>
    <t>28/02/2026</t>
  </si>
  <si>
    <t xml:space="preserve">1 atelier hors-Abidjan / 16 participants (NPSP / DIS / DISD)
full perdiems : 4 530 000
Forfait carburant : 160 000
Location salle : 597 500
Forfait transport : 220 000
Location véhicule 490000
Eau en salle : 80 000
pause café : 800 000
Frais de transfert de fonds : 49 160
</t>
  </si>
  <si>
    <t>4.2-2.4: Réaliser deux (02) en GTT en vue de la mise à disposition des API(s) de la base de données mSupply</t>
  </si>
  <si>
    <t>Données disponibles et exploitables suite à l'appropiation des  API(s) mis à disposition</t>
  </si>
  <si>
    <t>Compte rendu de réunions</t>
  </si>
  <si>
    <t>4.2-2.5 : Organiser un GTT sur le paramétrage de eSIGL et mSupply conformement aux recommandations du SIGL intégré.</t>
  </si>
  <si>
    <t>la méthodologie de paramétrage est connue et mis à disposition des parties prenantes</t>
  </si>
  <si>
    <t>Compte rendu de réunion</t>
  </si>
  <si>
    <t>1 GTT / 2 jours
15 participants / forfait transport / pause-café / eau en salle / frais de transfert de fonds</t>
  </si>
  <si>
    <t>4.2-3 : Renforcer les capacités des utilisateurs de mSupply</t>
  </si>
  <si>
    <t xml:space="preserve">Evaluation des besoins en formation par niveau et renforcement des capacités des acteurs identifiés
Desc : Évaluation des gaps de compétences mSupply par catégorie d'utilisateur (ESPC, district, hôpital). Outil : questionnaire standardisé 
Les résultats de cette activité seront reversés à la cremcaps 
</t>
  </si>
  <si>
    <t>4.2.3.1 : Evaluation des besoins en formation par niveau</t>
  </si>
  <si>
    <t>Besoin de formation évalué sur l'ensemble des sites à faible performance</t>
  </si>
  <si>
    <t xml:space="preserve"> Cartographie des besoins formalisée et validée</t>
  </si>
  <si>
    <t>- Ciblage précis des besoins en formations ; évite les sessions génériques peu efficaces et optimise le budget
- Réduction immédiate des erreurs de saisie chez les nouveaux entrants ; accélération de la montée en compétence ; maitrise du turnover 
- Support autonome disponible ; réduit la dépendance aux interventions externes  
- Résolution rapide des blocages opérationnels ; maintien de la dynamique entre les supervisions terrain 
- Rédection la dépendance aux interventions externes
- Résolution rapide des blocages opérationnels ;
 maintien de la dynamique entre les supervisions terrain</t>
  </si>
  <si>
    <t>- 1 Rapport d'évalution des besoins en formation
- 1 Cartographie des besoins formalisée et validée</t>
  </si>
  <si>
    <t>- Rapport d'évaluation des besoins en formations 
- Rapport de renforcement des capacités 
- Journal de bord du coaching (date, district, agent, problème soulevé, réponse apportée) 
- Liste de distribution des guides utilisateurs avec accusé de réception par structure 
- Photo-documentation lors des supervisions terrain confirmant l'affichage ou la disponibilité des guides utilisateurs
- 1 Bot Whatsapp
- 1 Bot Telegram</t>
  </si>
  <si>
    <t xml:space="preserve">4.2.3.2 : Sessions de recyclage des gestionnaires identifiés par l'évaluation des besoins en formation </t>
  </si>
  <si>
    <t>*100% des agents identifiés formés
*200 gestionnaires ont eu leurs capacités renforcées</t>
  </si>
  <si>
    <t>Kit de formation  des nouveaux utilisateurs</t>
  </si>
  <si>
    <t xml:space="preserve">4.2.3.3 : Développer des guides utilisateurs simplifiés </t>
  </si>
  <si>
    <t>Guides disponibles dans 100% des structures</t>
  </si>
  <si>
    <t>- Ciblage précis des besoins en formations ; évite les sessions génériques peu efficaces et optimise le budget
- Réduction immédiate des erreurs de saisie chez les nouveaux entrants ; accélération de la montée en compétence ; maitrise du turnover 
- Support autonome disponible ; réduit la dépendance aux interventions externes  
- Résolution rapide des blocages opérationnels ; maintien de la dynamique entre les supervisions terrain 
- Rédection la dépendance aux interventions externes
- Résolution rapide des blocages opérationnels ;
- maintien de la dynamique entre les supervisions terrain</t>
  </si>
  <si>
    <t>- Guide d'utilisation mSupply
-    Rapport de distribution</t>
  </si>
  <si>
    <t>Production de supports au format A3  pour les DDSHPCMUs, EPHDs, EPHRs et ESPC</t>
  </si>
  <si>
    <t>4.2.3.4 : Renforcer les fonctionnalités de la plateforme GIMS par  la mise en place d'un mecanisme automatisé de coaching  et gestions de tickets</t>
  </si>
  <si>
    <t xml:space="preserve">
Canal actif, taux de réponse ≥ 90% </t>
  </si>
  <si>
    <t>- 1 Bot Whatsapp
- 1 Bot Telegram</t>
  </si>
  <si>
    <t>Implémentation d'un support BOT :
* Abonnement annuel à claude IA pro
*Support à l'implémentation</t>
  </si>
  <si>
    <t>4.2-4 : Assurer le support technique et la maintenance du système mSupply</t>
  </si>
  <si>
    <t xml:space="preserve">Vérifications mensuelles de l'intégrité des données, sauvegardes automatisées, mises à jour planifiées en dehors des heures de saisie. Maintenance préventive du système mSpply et Production d'un rapport mensuel synthétisant : incidents ouverts/résolus, DMRT, uptime, anomalies détectées. Partagé avec LHSPLA et DAP. 
A ajouter au rapport mensuel de mSupply  </t>
  </si>
  <si>
    <t>- Backlog bugs formalisé et suivi
- Base de négociation technique avec l'éditeur mSupply</t>
  </si>
  <si>
    <t xml:space="preserve"> Cartographie des besoins formalisée et validée
Rapport disponible avant le 10 du mois suivant 
Rapport de maintenance</t>
  </si>
  <si>
    <t xml:space="preserve">- Correction éfficiente des bugs bloquants pour les utilisateurs
- La disponibilité des serveurs mSupply est maintenue à un niveau ≥ 99% (uptime) sans aucune perte de données sur la période.
- Garantie de continuité de service ; 
- Protection du capital de données accumulé sur toute la période 
- Visibilité en temps réel pour les décideurs ; 
- Outil de redevabilité et de pilotage vis-à-vis du bailleur </t>
  </si>
  <si>
    <t xml:space="preserve">- 1 Backlog bugs formalisé et suivi
</t>
  </si>
  <si>
    <t>- 1 Backlog bugs formalisé et suivi
- Rapport de maintenance
- Rapport de performance technique</t>
  </si>
  <si>
    <t xml:space="preserve">4.2.4.2 : Appuyer l'élaboration d'un Rapport mensuel de performance technique  </t>
  </si>
  <si>
    <t xml:space="preserve">Rapport disponible avant le 10 du mois suivant </t>
  </si>
  <si>
    <t>Rapport de performance technique</t>
  </si>
  <si>
    <t xml:space="preserve">4.2.4.3 : Maintenance préventive des serveurs et bases de données </t>
  </si>
  <si>
    <t>"- 1 Backlog bugs formalisé et suivi
- Rapport de maintenance
- Rapport de performance technique"</t>
  </si>
  <si>
    <t>4.2-5 : Apporter un appui technique pour la supervision et la qualité des données</t>
  </si>
  <si>
    <t xml:space="preserve">Evaluer la qualité des données mSupply sur un échantillon représentatif de structures (districts et ESPC). Dimensions : exactitude, exhaustivité, ponctualité, cohérence, accessibilité. Outil : grille DQA adaptée. </t>
  </si>
  <si>
    <t xml:space="preserve">4.2.5.1 : Réaliser une évaluation diagnostique initial (Data Quality Assessment), </t>
  </si>
  <si>
    <t>Une baseline DQA rigoureuse est établie sur un échantillon représentatif, servant de référence formelle pour l'ensemble du plan.</t>
  </si>
  <si>
    <t>Amélioration de la qualité des données dans mSupply sur l'ensemble des sites identifiés</t>
  </si>
  <si>
    <t xml:space="preserve">- Disponibilité de fondements de base du plan d’amélioration de la qualité des données dans mSupply ; 
- référence objective et crédible pour mesurer les progrès. 
- Correction in situ des mauvaises pratiques de saisie ; effet de levier sur les structures voisines du même district 
- Consolidation des acquis ; démonstration de l'impact mesurable et cumulatif du plan d’amélioration de la qualité des données dans mSupply 
- Couverture de supervision élargie à coût marginal faible ; détection précoce des dérives avant qu'elles s'installent 
- Pilotage objectif du plan ; classement des structures crée une émulation positive et responsabilise les gestionnaires </t>
  </si>
  <si>
    <t xml:space="preserve"> 1 Rapport Baseline produit et validé</t>
  </si>
  <si>
    <t>-  1 Rapport Baseline produit et validé
-  1 Rapport de supervision
-  1 Tableau de bord interne fonctionnel
-  2 rapports d'audit</t>
  </si>
  <si>
    <t xml:space="preserve">Mission terrain sur 15 jours
10 districts
5 équipes (2 agents par équipe)
Location de véhicules / Forfait carburant / full perdiems / frais de transfert de fonds </t>
  </si>
  <si>
    <t xml:space="preserve">4.2.5.2 : Conduire une mission de supervision formative – vague 1 </t>
  </si>
  <si>
    <t>Au moins 60% des structures sanitaires prioritaires ont reçu au minimum une visite de supervision formative au cours de la période.</t>
  </si>
  <si>
    <t xml:space="preserve">Mission terrain sur 10 districts
Full Perdiem / Forfait carburant / Location de véhicules / frais de transfert de fonds </t>
  </si>
  <si>
    <t>4.2.5.3 : Conduire une mission de supervision formative – vague 2</t>
  </si>
  <si>
    <t xml:space="preserve">Amélioration documentée vs vague 1 </t>
  </si>
  <si>
    <t xml:space="preserve">4.2.5.4 : Monitorer à distance les sites identifés par le DQA – tableau de bord mSupply </t>
  </si>
  <si>
    <t xml:space="preserve">Tableau de bord actif ; alertes envoyées sous 48h </t>
  </si>
  <si>
    <t>Tableau de bord interne</t>
  </si>
  <si>
    <t>4.2.5.5 : Conduire une évaluation mensuelle de la qualité des données dans  mSupply</t>
  </si>
  <si>
    <t xml:space="preserve">2 rapports d'audit produits </t>
  </si>
  <si>
    <t>4.2-6 : Renforcer la Gouvernance, la Coordination et Pérennisation</t>
  </si>
  <si>
    <t xml:space="preserve">Création d'un comité mensuel réunissant : Équipe LHSPLA Ordre du jour standardisé : revue des performances, décisions, escalades. </t>
  </si>
  <si>
    <t xml:space="preserve">4.2.6.1 : Mise en place d'un Comité de Pilotage de la qualité des données dans mSupply </t>
  </si>
  <si>
    <t xml:space="preserve">Comité actif dès mai 2026 ; PV de réunion produits </t>
  </si>
  <si>
    <t xml:space="preserve">- existence d'un mécanisme formel d'escalade et de décision inter-entité
- Transformation des bonnes pratiques en obligation institutionnelle opposable ; effet systémique à l'échelle nationale
- Démultiplication de la capacité de supervision sans coût proportionnel ; détection des anomalies réduite de plusieurs semaines à 48–72h ; 
- Valorisation institutionnelle de la qualité des données ; création d'une redevabilité ascendante durable 
</t>
  </si>
  <si>
    <t>PV de réunion</t>
  </si>
  <si>
    <t>- PV de réunion
- Document de politique validé par la DAP 
- Rapport de formation des points focaux
- Rapport GTT</t>
  </si>
  <si>
    <t xml:space="preserve">En coordination avec la DAP, formaliser les standards minimaux de saisie (délai, complétude, responsabilité) opposables à toutes les structures. </t>
  </si>
  <si>
    <t xml:space="preserve">4.2.6.2 : Élaborer d'une politique nationale de saisie des données dans mSupply </t>
  </si>
  <si>
    <t xml:space="preserve">Document de politique validé par la DAP </t>
  </si>
  <si>
    <t xml:space="preserve">Désignation d'un  Point Focal mSupply dans chacune des 33 régions sanitaires.   Missions du Point Focal Régional : supervision et appui aux 3 à 4 points focaux de district de sa zone ; consolidation des rapports qualité ; interface avec l'équipe SI LHSPLA et la DAP. Formation spécialisée : 5 jours  (détection des données erronnées  + gestion de la qualité des données + communication ascendante). </t>
  </si>
  <si>
    <t>4.2.6.3 : Créer un Réseau de Points Focaux régionaux – 33 régions sanitaires</t>
  </si>
  <si>
    <t>33 points focaux opérationnels et formés à la qualité des données mSupply</t>
  </si>
  <si>
    <t>Nbre de point focaux formés / Nbre de point focaux attendus</t>
  </si>
  <si>
    <t>Rapport de formation des points focaux</t>
  </si>
  <si>
    <t>Session de formation / hors d'abidjan /
33 personnes
location de salle / full perdiem / forfait transport / eau en salle / frais de transfert de fonds</t>
  </si>
  <si>
    <t>GTT pour l'inclusion des indicateurs msupply  dans les revues de performance trimestrielles des districts et des régions sanitaires. 
Desc : inclusion des indicateurs  dans les revues de performance trimestrielles des districts et des régions sanitaires</t>
  </si>
  <si>
    <t xml:space="preserve">4.2.6.4 : Intégrer les indicateurs mSupply dans les revues de performance( RAS, ROL) </t>
  </si>
  <si>
    <t>Indicateurs mSupply présents dans ≥ 1 revue de performance regionale/departementale</t>
  </si>
  <si>
    <t>Rapport GTT</t>
  </si>
  <si>
    <t>N° Activité AWP</t>
  </si>
  <si>
    <t>Code Tâche</t>
  </si>
  <si>
    <t>N° Activité parent</t>
  </si>
  <si>
    <t>1.1-1</t>
  </si>
  <si>
    <t>1.1-2</t>
  </si>
  <si>
    <t>1.1-3</t>
  </si>
  <si>
    <t>1.1-4</t>
  </si>
  <si>
    <t>1.1-5</t>
  </si>
  <si>
    <t>1.1-7</t>
  </si>
  <si>
    <t>1.1-9</t>
  </si>
  <si>
    <t>1.1-10</t>
  </si>
  <si>
    <t>1.1-11</t>
  </si>
  <si>
    <t>1.2-2</t>
  </si>
  <si>
    <t>1.5-1</t>
  </si>
  <si>
    <t>1.7-1</t>
  </si>
  <si>
    <t>1.7-2</t>
  </si>
  <si>
    <t>1.7-4</t>
  </si>
  <si>
    <t>1.7-5</t>
  </si>
  <si>
    <t>1.7-7</t>
  </si>
  <si>
    <t>1.7-8</t>
  </si>
  <si>
    <t>1.7-9</t>
  </si>
  <si>
    <t>1.7-11</t>
  </si>
  <si>
    <t>1.7-12</t>
  </si>
  <si>
    <t>1.7-13</t>
  </si>
  <si>
    <t>1.7-14</t>
  </si>
  <si>
    <t>1.9-1</t>
  </si>
  <si>
    <t>1.10-2</t>
  </si>
  <si>
    <t>1.10-3</t>
  </si>
  <si>
    <t>1.11-2</t>
  </si>
  <si>
    <t>1.11-5</t>
  </si>
  <si>
    <t>1.11-6</t>
  </si>
  <si>
    <t>2.1-1</t>
  </si>
  <si>
    <t>2.1-2</t>
  </si>
  <si>
    <t>2.2-4</t>
  </si>
  <si>
    <t>2.2-5</t>
  </si>
  <si>
    <t>2.2-6</t>
  </si>
  <si>
    <t>2.2-7</t>
  </si>
  <si>
    <t>2.6-1</t>
  </si>
  <si>
    <t>2.6-3</t>
  </si>
  <si>
    <t>2.6-4</t>
  </si>
  <si>
    <t>2.6-6</t>
  </si>
  <si>
    <t>2.6-7</t>
  </si>
  <si>
    <t>2.6-8</t>
  </si>
  <si>
    <t>2.6-9</t>
  </si>
  <si>
    <t>3.1-1</t>
  </si>
  <si>
    <t>3.2-2</t>
  </si>
  <si>
    <t>4.1-1</t>
  </si>
  <si>
    <t>4.1-2</t>
  </si>
  <si>
    <t>4.1-3</t>
  </si>
  <si>
    <t>4.2-1</t>
  </si>
  <si>
    <t>4.2-2</t>
  </si>
  <si>
    <t>4.2.3</t>
  </si>
  <si>
    <t>4.2.4</t>
  </si>
  <si>
    <t>4.2.5</t>
  </si>
  <si>
    <t>4.2.6</t>
  </si>
  <si>
    <t>1.1-1.1</t>
  </si>
  <si>
    <t>1.1-10.1 : Equiper Les Districts Sanitaires en matériel informatique pour une opérationnalisation de leurs activités</t>
  </si>
  <si>
    <t>1.2-2.1 : Doter l'équipe projet e-STOCK en équipement informatique.</t>
  </si>
  <si>
    <t>1.4-1.1 : Organiser une réunion de coordination avec le PNLP, la DAP, la DSCPS, et les autres PTF</t>
  </si>
  <si>
    <t>1.5-1.1 : Accompagner les acteurs à l'utilisation effective du tableau de bord mSupply</t>
  </si>
  <si>
    <t>1.7-1.1 : Faire le suivi de la complétude et la promptitude des données de la Fiche de Stock</t>
  </si>
  <si>
    <t>1.7-2.1 : Organiser des réunions hebdomadaires avec les membres de l'agence programme</t>
  </si>
  <si>
    <t>1.7-4.1 : Organiser un atelier de revision de la liste des produits traceurs Edistock</t>
  </si>
  <si>
    <t>1.7-5.1 : Organiser deux ateliers de traitement et d'analyse des données nécessaires à la production du rapport annuel</t>
  </si>
  <si>
    <t>1.7-8.1 : Fournir une assistance technique par appels téléphoniques aux gestionnaires</t>
  </si>
  <si>
    <t>1.7-9.1 : Rédiger les rapports programmatiques - Rapports trimestriels d'activités</t>
  </si>
  <si>
    <t>1.7-11.1 : Réaliser une mission d'évaluation de la qualité des données de Esigl</t>
  </si>
  <si>
    <t>1.7-12.1 : Organiser en collaboration avec le programme un GTT de préparation de la mission</t>
  </si>
  <si>
    <t>1.7-13.1 : Élaborer le protocole méthodologique et les outils de collecte et d'analyse</t>
  </si>
  <si>
    <t>1.7-14.1 : Développer et déployer l'outil d'automatisation de l'élaboration budgétaire</t>
  </si>
  <si>
    <t>1.10-2.1 : Organiser des séances d'actualisation et de validation des plans d'approvisionnement</t>
  </si>
  <si>
    <t>1.10-3.1 : Organiser 03 sessions de renforcement de capacités des acteurs des services</t>
  </si>
  <si>
    <t>1.11-6.1 : Organiser 2 ateliers de rédactions des histoires à succès</t>
  </si>
  <si>
    <t>2.1-1.1 : Créer les ROs dans ARTMIS pour les commandes planifiées des programmes</t>
  </si>
  <si>
    <t>2.1-2.1 : Assister le processus d'achat des produits des programmes sous financement PEPFAR</t>
  </si>
  <si>
    <t>2.2-1.1 : Faire un suivi hebdomadaire du processus d'entrée en stock (machine)</t>
  </si>
  <si>
    <t>2.2-2.1 : Apporter un appui pour le renforcement du mécanisme de réapprovisionnement</t>
  </si>
  <si>
    <t>2.2-6.1 : Recruter et mobiliser un consultant spécialisé en développement d'applications</t>
  </si>
  <si>
    <t>2.2-7.1 : Évaluer les besoins et faire le diagnostic du système actuel</t>
  </si>
  <si>
    <t>2.6-1.1 : Organiser 01 session de coaching des agents des entités opérationnelles</t>
  </si>
  <si>
    <t>2.6-2.1 : Organiser des reunions quinzomadaires de suivi des performances de l'agence programme</t>
  </si>
  <si>
    <t>2.6-3.1 : Faire le suivi auprès des entités de la NPSP concernées pour le traitement des alertes</t>
  </si>
  <si>
    <t>2.6-4.1 : Organiser une réunion de détermination des besoins additionnels de la distribution</t>
  </si>
  <si>
    <t>2.6-5.1 : Organiser une séance d'orientation pour les responsables de pharmacie</t>
  </si>
  <si>
    <t>2.6-6.1 : Apporter un appui technique et financier pour l'organisation d'un atelier de formation</t>
  </si>
  <si>
    <t>2.6-7.1 : Apporter un appui pour l'organisation d'un atelier de révision de la convention</t>
  </si>
  <si>
    <t>2.6-8.1 : Organiser un atelier de validation technique des procédures de distribution</t>
  </si>
  <si>
    <t>2.6-9.1 : Apporter un appui technique pour le développement d'une application Web</t>
  </si>
  <si>
    <t>3.2-1.1 : Etablir et obtenir les autorisations d'importation et d'enlevement auprès des autorités</t>
  </si>
  <si>
    <t>3.2-2.1 : Assurer l'enlèvement des colis dans les dix (10) jours suivant l'arrivée des produits</t>
  </si>
  <si>
    <t>4.1-1.1 : Organiser un (01) GTT d'élaboration de la méthodologie d'analyse et d'implémentation</t>
  </si>
  <si>
    <t>4.1-2.1 : Assister les utilisateurs de eSIGL et mSupply et produire un rapport d'assistance</t>
  </si>
  <si>
    <t>4.2-2.1 : Révision du paramétrage de eSIGL et mSupply conformement aux recommandations</t>
  </si>
  <si>
    <t>4.2.6.1 : Mise en place d'un Comité de Pilotage de la qualité des données dans mSupply</t>
  </si>
  <si>
    <t>1.1-1.2</t>
  </si>
  <si>
    <t>1.1-11.2 : Élaborer un formulaire d'évaluation</t>
  </si>
  <si>
    <t>1.2-1.2 : Faire le suivi de la disponibilité du chronogramme de distribution au niveau des districts sanitaires</t>
  </si>
  <si>
    <t>1.4-1.2 : Organiser une réunion bilan avec les acteurs de la partie nationale sur la mise en oeuvre des activités communautaires</t>
  </si>
  <si>
    <t>1.7-1.2 : Organiser des visites d'assistance technique aux acteurs impliqués dans la collecte des données</t>
  </si>
  <si>
    <t>1.7-2.2 : Organiser des réunions mensuelle de suivi de la complétude et d'analyse de la qualité des données</t>
  </si>
  <si>
    <t>1.7-4.2 : Organiser un atelier de rédaction du Rapport de performance de la CA du FY26</t>
  </si>
  <si>
    <t>1.7-9.2 : Produire trimestriellement un rapport d'analyse des causes profondes des ruptures de stock</t>
  </si>
  <si>
    <t>1.7-12.2 : Développement de l'outil de collecte des données</t>
  </si>
  <si>
    <t>1.7-13.2 : Collecter, consolider et préparer les données multi-sources nécessaires</t>
  </si>
  <si>
    <t>1.11-5.2 : Organiser la récompense des meilleures gestionnaires sur 3 sites</t>
  </si>
  <si>
    <t>2.1-2.2 : Diffuser mensuellement la situation des commandes gérées par la NPSP</t>
  </si>
  <si>
    <t>2.2-5.2 : Transmettre à la CAACPS la liste actualisée de tous les produits en anomalie</t>
  </si>
  <si>
    <t>2.2-6.2 : Analyser les besoins fonctionnels et concevoir l'architecture de l'outil</t>
  </si>
  <si>
    <t>2.2-7.2 : Développer le cadre de performance et sélectionner les indicateurs clés</t>
  </si>
  <si>
    <t>2.6-1.2 : Mise en place d'un GTT pour la collecte et l'analyse des données sur la satisfaction des commandes</t>
  </si>
  <si>
    <t>2.6-3.2 : Organiser un GTT sur la question des échecs de conversion de ESIGL à SAP</t>
  </si>
  <si>
    <t>3.1-1.2 : Organiser l'approbation des formulaires par la Directrice Projet et PEPFAR</t>
  </si>
  <si>
    <t>4.1-1.2 : Réaliser un atelier de transfert de compétences de l'architecture de l'application</t>
  </si>
  <si>
    <t>4.1-2.2 : Elaborer un module e-learning Open mSupply</t>
  </si>
  <si>
    <t>4.2-2.2 : Atelier de réflexion sur mutualisation des outils numériques pour un système intégré</t>
  </si>
  <si>
    <t>4.2.3.2 : Sessions de recyclage des gestionnaires identifiés par l'évaluation de besoins</t>
  </si>
  <si>
    <t>4.2.4.2 : Appuyer l'élaboration d'un Rapport mensuel de performance technique</t>
  </si>
  <si>
    <t>4.2.5.2 : Conduire une mission de supervision formative – vague 1</t>
  </si>
  <si>
    <t>4.2.6.2 : Élaborer d'une politique nationale de saisie des données dans mSupply</t>
  </si>
  <si>
    <t>1.1-1.3</t>
  </si>
  <si>
    <t>1.1-11.3 : Collecter les réponses des parties prenantes</t>
  </si>
  <si>
    <t>1.2-1.3 : Faire le suivi de l'éxecution effective de la distribution selon le chronogramme de livraison</t>
  </si>
  <si>
    <t>1.3-1.3 : Suivre la complétude et la promptitude des RCM des sites clients directs de la NPSP à partir du eSIGL</t>
  </si>
  <si>
    <t>1.7-2.3 : Organiser des réunions mensuelles d'analyse de la qualité des données SIGL</t>
  </si>
  <si>
    <t>1.7-6.3 : Organiser un atelier de rédaction des rapports des résultats de l'enquête EUV</t>
  </si>
  <si>
    <t>1.7-9.3 : Réviser le template des rapports programmatiques</t>
  </si>
  <si>
    <t>1.7-12.3 : Organiser la phase test de l'outil, la restitution et la finalisation</t>
  </si>
  <si>
    <t>1.11-3.3 : Acquérir une licence informatique pour la professionnalisation des comptes rendus</t>
  </si>
  <si>
    <t>1.11-6.3 : Organiser une série de webinaire pour présenter les entités du projet</t>
  </si>
  <si>
    <t>2.1-1.3 : Suivre l'exécution des commandes au niveau de GHSC-PSM &amp; GHSC-RTK</t>
  </si>
  <si>
    <t>2.1-2.3 : Concevoir un outil pour faciliter le suivi mensuel des différentes étapes des commandes</t>
  </si>
  <si>
    <t>2.2-1.3 : Elaborer une note technique dans le cadre de la création de nouveaux fiches techniques</t>
  </si>
  <si>
    <t>2.2-2.3 : Mettre en place une instruction de travail afin de formaliser la procédure de réapprovisionnement</t>
  </si>
  <si>
    <t>2.2-5.3 : S'assurer de la transmission mensuelle de la liste des produits en surstock</t>
  </si>
  <si>
    <t>2.6-1.3 : Apporter un appui technique et financier pour l'organisation d'un atelier</t>
  </si>
  <si>
    <t>2.6-2.3 : Diffuser de façon bi-mensuelle les données de distribution</t>
  </si>
  <si>
    <t>2.6-3.3 : Renforcer l'outil de satisfaction des commandes en incluant les notifications</t>
  </si>
  <si>
    <t>2.6-5.3 : Diffuser chaque mois aux parties prenantes une analyse de la gestion des ARV</t>
  </si>
  <si>
    <t>3.1-1.3 : Suivre la transmission et l'exécution des commandes et réactifs et consommables</t>
  </si>
  <si>
    <t>4.1-1.3 : Organiser des sessions de formations des formateurs nationaux (points focaux mSupply)</t>
  </si>
  <si>
    <t>4.1-2.3 : Apporter un appui en communication à l'équipe projet mSupply</t>
  </si>
  <si>
    <t>4.2-1.3 : Organiser un atelier de transfert de compétence de developpement aux équipes nationales</t>
  </si>
  <si>
    <t>4.2.4.3 : Maintenance préventive des serveurs et bases de données</t>
  </si>
  <si>
    <t>1.1-1.4</t>
  </si>
  <si>
    <t>1.1-11.4 : Analyser et diffuser le rapport d'évaluation</t>
  </si>
  <si>
    <t>1.7-12.4 : Organiser la formation des équipes de collecte de données.</t>
  </si>
  <si>
    <t>1.11-4.4 : Reprographier des exemplaires du manuel d'assistance technique</t>
  </si>
  <si>
    <t>1.11-5.4 : Organiser une rencontre opérationnelle pour améliorer la collaboration LHSPLA</t>
  </si>
  <si>
    <t>2.1-1.4 : Apporter un appui technique au PNSME pour la détermination des caractéristiques</t>
  </si>
  <si>
    <t>2.1-2.4 : Orienter les acteurs de la DAP/CNCAM sur l'utilisation de l'outil de suivi</t>
  </si>
  <si>
    <t>2.2-1.4 : Mettre en place un fichier de suivi intégré de la reception des produits de programme</t>
  </si>
  <si>
    <t>2.2-2.4 : Mettre en place un fichier de suivi intégré du plan de réapprovisionnement</t>
  </si>
  <si>
    <t>2.2-5.4 : Assurer la transmission chaque semaine du point du traitement des alertes de surstock</t>
  </si>
  <si>
    <t>2.2-7.4 : Renforcer les capacités des acteurs intervenant dans le système de Suivi</t>
  </si>
  <si>
    <t>2.6-2.4 : Renforcer les capacités de la CAACPS pour la prise en main de la gestion logistique</t>
  </si>
  <si>
    <t>2.6-5.4 : Organiser une réunion annuelle regroupant LHSPLA, PNLS, CDC/RETROCI, PMO</t>
  </si>
  <si>
    <t>4.1-1.4 : Réaliser deux (02) supervisions formatives par le GTT mSupply dans les hôpitaux</t>
  </si>
  <si>
    <t>4.2-1.4 : Organiser un atelier de transfert de compétence sur l'administration système eSIGL</t>
  </si>
  <si>
    <t>4.2-2.4 : Réaliser deux (02) en GTT en vue de la mise à disposition des APIs</t>
  </si>
  <si>
    <t>4.2.3.4 : Renforcer les fonctionnalités de la plateforme GIMS</t>
  </si>
  <si>
    <t>4.2.6.4 : Intégrer les indicateurs mSupply dans les revues de performance (RAS, etc.)</t>
  </si>
  <si>
    <t>1.1-2.1</t>
  </si>
  <si>
    <t>1.3-2.6 : Organiser 4 réunions de coordination en ligne sur les activités de la chaine d'approvisionnement décentralisée</t>
  </si>
  <si>
    <t>1.7-3.5 : Renforcer les capacités du datacenter de la nouvelle PSP pour l'hébergement</t>
  </si>
  <si>
    <t>1.7-12.5 : Organiser la mission de collecte des données dans les structures identifiées</t>
  </si>
  <si>
    <t>1.11-5.5 : Elaborer des quizz en lignes sur le projet LHSPLA</t>
  </si>
  <si>
    <t>2.1-2.5 : Diffuser mensuellement un point sur les produits à risque et les commandes urgentes</t>
  </si>
  <si>
    <t>2.2-2.5 : Apporter un appui financier pour le répprovisionnement complet inter-agences</t>
  </si>
  <si>
    <t>2.2-5.5 : Apporter un appui technique et financier pour la tenue de réunions trimestrielles de gestion des stocks</t>
  </si>
  <si>
    <t>2.2-6.5 : Documenter la solution et transférer les compétences techniques</t>
  </si>
  <si>
    <t>2.2-7.5 : Mettre en œuvre la phase pilote de l'implémentation du système</t>
  </si>
  <si>
    <t>2.6-2.5 : Recruter un agent CAACPS</t>
  </si>
  <si>
    <t>2.6-5.5 : Apporter un appui technique au PNLS pour l'organisation de réunions périodiques</t>
  </si>
  <si>
    <t>4.1-2.5 : Renforcement du dispositif de communication et de veille régionale sur mSupply</t>
  </si>
  <si>
    <t>4.2-2.5 : Organiser un GTT sur le paramétrage de eSIGL et mSupply</t>
  </si>
  <si>
    <t>4.2.5.5 : Conduire une évaluation mensuelle de la qualité des données dans mSupply</t>
  </si>
  <si>
    <t>1.1-2.2</t>
  </si>
  <si>
    <t>1.7-3.6 : Heberger les Outils d'Aides à la Décision (OAD) sur le data center de la nouvelle PSP</t>
  </si>
  <si>
    <t>1.7-12.6 : Organiser le traitement et la redaction du rapport de la mission.</t>
  </si>
  <si>
    <t>1.11-4.6 : Organiser une réunion avec la Direction Générale de la Santé</t>
  </si>
  <si>
    <t>1.11-6.6 : Sponsoriser la page Facebook LHSPLA</t>
  </si>
  <si>
    <t>2.1-2.6 : Diffuser mensuellement l'état de l'exécution des budgets Etat aux PNS</t>
  </si>
  <si>
    <t>2.2-5.6 : Élaborer un plan d'allocation pour une remise à niveau des stocks nationaux</t>
  </si>
  <si>
    <t>2.6-5.6 : Apporter un appui technique pour l'inventaire des équipements de chambre froide</t>
  </si>
  <si>
    <t>4.1-1.6 : Financer l'abonnement internet de 102 sites mSupply pour la remontée des données</t>
  </si>
  <si>
    <t>1.1-3.1</t>
  </si>
  <si>
    <t>1.3-2.8 : Organiser 4 réunions trimestrielles avec les acteurs impliqués dans la logistique décentralisée</t>
  </si>
  <si>
    <t>1.7-3.7 : Organiser des supervisions formatives semestrielles des gestionnaires</t>
  </si>
  <si>
    <t>1.7-12.7 : Organiser un atelier de restitution des resultats de la mission aux parties prenantes</t>
  </si>
  <si>
    <t>1.11-1.7 : Assurer les frais de soutien à la gestion du projet (Cout indirects)</t>
  </si>
  <si>
    <t>1.11-4.7 : Organiser un atelier de validation du Plan National Stratégique de la CA</t>
  </si>
  <si>
    <t>1.11-5.7 : Renforcer la crédibilité technique du projet à travers la production de livrables</t>
  </si>
  <si>
    <t>2.1-2.7 : Organiser chaque trimestre des reunions de priorisation de commandes sous financement GOCI</t>
  </si>
  <si>
    <t>2.2-5.7 : Validation du plan d'allocation pour une remise à niveau des stocks nationaux</t>
  </si>
  <si>
    <t>2.6-5.7 : Acquérir des gels eutectiques, des moniteurs de températures ou de data loggers</t>
  </si>
  <si>
    <t>4.1-1.7 : Réaliser un atelier de transfert de compétences de niveau 3 sur l'administration système</t>
  </si>
  <si>
    <t>1.1-4.1</t>
  </si>
  <si>
    <t>1.3-2.9 : Organiser deux atéliers de coordination avec les Pharmaciens de régions</t>
  </si>
  <si>
    <t>1.7-3.8 : Assurer l'assistance technique pour le déploiement et la maintenance de l'application ONVD</t>
  </si>
  <si>
    <t>1.7-12.8 : Organiser une mission de renforcement de capacité dans les établissements</t>
  </si>
  <si>
    <t>2.1-2.8 : Apporter un appui technique et financier pour la tenue d'une reunion tripartite</t>
  </si>
  <si>
    <t>2.2-5.8 : Apporter un appui technique et financier pour la mise en oeuvre du plan d'allocation</t>
  </si>
  <si>
    <t>2.6-5.8 : Organiser deux sessions d'orientation de 05 journées des Acteurs de la gestion logistique</t>
  </si>
  <si>
    <t>4.1-1.8 : Réaliser un atelier d'épuration de la base de données mSupply</t>
  </si>
  <si>
    <t>1.1-5.1</t>
  </si>
  <si>
    <t>1.7-3.9 : Assurer la convergence des données ONVD-Plus / SNGFA par le développement d'une API</t>
  </si>
  <si>
    <t>1.11-6.9 : Acquérir du matériel audiovisuel pour la creation de contenu video</t>
  </si>
  <si>
    <t>1.1-5.2</t>
  </si>
  <si>
    <t>1.7-3.10 : Garantir l'intégrité du déploiement de l'application ONVD-Plus Windows</t>
  </si>
  <si>
    <t>1.11-6.10 : Déployer des outils de communication pratique pour l'amélioration de la visibilité</t>
  </si>
  <si>
    <t>4.1-1.10 : Atelier de validation des indicateurs revisés du tableau de bord mSupply</t>
  </si>
  <si>
    <t>1.1-6.1</t>
  </si>
  <si>
    <t>1.7-3.11 : Finalisation technique, signature numérique et génération de la version finale</t>
  </si>
  <si>
    <t>1.1-6.2</t>
  </si>
  <si>
    <t>1.1-7.1</t>
  </si>
  <si>
    <t>1.11-6.13 : Déployer une campagne d'adhésion et de fidélisation des gestionnaires</t>
  </si>
  <si>
    <t>1.1-9.1</t>
  </si>
  <si>
    <t>1.1-10.1</t>
  </si>
  <si>
    <t>1.1-11.1</t>
  </si>
  <si>
    <t>1.1-11.2</t>
  </si>
  <si>
    <t>1.1-11.3</t>
  </si>
  <si>
    <t>1.1-11.4</t>
  </si>
  <si>
    <t>1.2-1.1</t>
  </si>
  <si>
    <t>1.2-1.2</t>
  </si>
  <si>
    <t>1.2-1.3</t>
  </si>
  <si>
    <t>1.2-2.1</t>
  </si>
  <si>
    <t>1.2-3.1</t>
  </si>
  <si>
    <t>1.3-1.1</t>
  </si>
  <si>
    <t>1.3-1.2</t>
  </si>
  <si>
    <t>1.3-1.3</t>
  </si>
  <si>
    <t>1.3-1.4</t>
  </si>
  <si>
    <t>1.3-2.2</t>
  </si>
  <si>
    <t>1.7-14.1</t>
  </si>
  <si>
    <t>1.3-2.3</t>
  </si>
  <si>
    <t>1.3-2.4</t>
  </si>
  <si>
    <t>1.3-2.5</t>
  </si>
  <si>
    <t>1.3-2.6</t>
  </si>
  <si>
    <t>1.3-2.7</t>
  </si>
  <si>
    <t>1.3-2.8</t>
  </si>
  <si>
    <t>1.3-2.9</t>
  </si>
  <si>
    <t>1.4-1.1</t>
  </si>
  <si>
    <t>1.4-1.2</t>
  </si>
  <si>
    <t>1.4-1.3</t>
  </si>
  <si>
    <t>1.4-1.4</t>
  </si>
  <si>
    <t>1.5-1.1</t>
  </si>
  <si>
    <t>1.7-1.1</t>
  </si>
  <si>
    <t>1.7-1.2</t>
  </si>
  <si>
    <t>1.7-2.1</t>
  </si>
  <si>
    <t>1.7-2.2</t>
  </si>
  <si>
    <t>1.7-2.3</t>
  </si>
  <si>
    <t>1.7-3.1</t>
  </si>
  <si>
    <t>1.7-3.2</t>
  </si>
  <si>
    <t>1.7-3.3</t>
  </si>
  <si>
    <t>1.7-3.4</t>
  </si>
  <si>
    <t>1.7-3.5</t>
  </si>
  <si>
    <t>1.7-3.6</t>
  </si>
  <si>
    <t>1.7-3.7</t>
  </si>
  <si>
    <t>1.7-3.8</t>
  </si>
  <si>
    <t>1.7-3.9</t>
  </si>
  <si>
    <t>1.7-3.10</t>
  </si>
  <si>
    <t>1.7-3.11</t>
  </si>
  <si>
    <t>1.7-4.1</t>
  </si>
  <si>
    <t>1.7-4.2</t>
  </si>
  <si>
    <t>1.7-5.1</t>
  </si>
  <si>
    <t>1.7-6.1</t>
  </si>
  <si>
    <t>1.7-6.2</t>
  </si>
  <si>
    <t>1.7-6.3</t>
  </si>
  <si>
    <t>4.1.1</t>
  </si>
  <si>
    <t>1.7-6.4</t>
  </si>
  <si>
    <t>1.7-6.5</t>
  </si>
  <si>
    <t>1.7-7.1</t>
  </si>
  <si>
    <t>1.7-8.1</t>
  </si>
  <si>
    <t>1.7-9.1</t>
  </si>
  <si>
    <t>1.7-9.2</t>
  </si>
  <si>
    <t>1.7-9.3</t>
  </si>
  <si>
    <t>1.7-11.1</t>
  </si>
  <si>
    <t>4.2-6</t>
  </si>
  <si>
    <t>1.7-11.2</t>
  </si>
  <si>
    <t>1.7-12.1</t>
  </si>
  <si>
    <t>1.7-12.2</t>
  </si>
  <si>
    <t>1.7-12.3</t>
  </si>
  <si>
    <t>1.7-12.4</t>
  </si>
  <si>
    <t>1.7-12.5</t>
  </si>
  <si>
    <t>1.7-12.6</t>
  </si>
  <si>
    <t>1.7-12.7</t>
  </si>
  <si>
    <t>1.7-12.8</t>
  </si>
  <si>
    <t>1.7-13.1</t>
  </si>
  <si>
    <t>1.7-13.2</t>
  </si>
  <si>
    <t>1.7-13.3</t>
  </si>
  <si>
    <t>1.7-13.4</t>
  </si>
  <si>
    <t>1.8-2.1</t>
  </si>
  <si>
    <t>1.8-3.1</t>
  </si>
  <si>
    <t>1.9-1.1</t>
  </si>
  <si>
    <t>1.10-1.1</t>
  </si>
  <si>
    <t>1.10-2.1</t>
  </si>
  <si>
    <t>1.10-3.1</t>
  </si>
  <si>
    <t>1.11-1.1</t>
  </si>
  <si>
    <t>1.11-1.2</t>
  </si>
  <si>
    <t>1.11-1.3</t>
  </si>
  <si>
    <t>1.11-1.4</t>
  </si>
  <si>
    <t>1.11-1.5</t>
  </si>
  <si>
    <t>1.11-1.6</t>
  </si>
  <si>
    <t>1.11-1.7</t>
  </si>
  <si>
    <t>CATEGORIES_VIGILANCE</t>
  </si>
  <si>
    <t>1.11-1.8</t>
  </si>
  <si>
    <t>Quantification des produits de santé</t>
  </si>
  <si>
    <t>1.11-1.9</t>
  </si>
  <si>
    <t>Plan d'approvisionnement</t>
  </si>
  <si>
    <t>1.11-1.10</t>
  </si>
  <si>
    <t>Hypothèses de quantification</t>
  </si>
  <si>
    <t>1.11-1.11</t>
  </si>
  <si>
    <t>Commande en cours (suivi ARTMIS/GHSC)</t>
  </si>
  <si>
    <t>1.11-1.12</t>
  </si>
  <si>
    <t>1.11-1.13</t>
  </si>
  <si>
    <t>Réception de produits au niveau central</t>
  </si>
  <si>
    <t>1.11-2.1</t>
  </si>
  <si>
    <t>1.11-2.2</t>
  </si>
  <si>
    <t>Achat local de produits de santé</t>
  </si>
  <si>
    <t>1.11-2.3</t>
  </si>
  <si>
    <t>Gestion de stock</t>
  </si>
  <si>
    <t>1.11-3.1</t>
  </si>
  <si>
    <t>Redistribution de stock</t>
  </si>
  <si>
    <t>1.11-3.2</t>
  </si>
  <si>
    <t>Gestion des péremptions et surstocks</t>
  </si>
  <si>
    <t>1.11-3.3</t>
  </si>
  <si>
    <t>Inventaire des produits</t>
  </si>
  <si>
    <t>1.11-3.4</t>
  </si>
  <si>
    <t>Gestion de la chaîne du froid</t>
  </si>
  <si>
    <t>1.11-4.1</t>
  </si>
  <si>
    <t>Livraison des produits aux sites</t>
  </si>
  <si>
    <t>1.11-4.2</t>
  </si>
  <si>
    <t>Distribution communautaire</t>
  </si>
  <si>
    <t>1.11-4.3</t>
  </si>
  <si>
    <t>Satisfaction des commandes clients</t>
  </si>
  <si>
    <t>1.11-4.4</t>
  </si>
  <si>
    <t>Distribution en situation d'urgence</t>
  </si>
  <si>
    <t>1.11-4.5</t>
  </si>
  <si>
    <t>Rapportage programmatique</t>
  </si>
  <si>
    <t>1.11-4.6</t>
  </si>
  <si>
    <t>Qualité des données SIGL</t>
  </si>
  <si>
    <t>1.11-4.7</t>
  </si>
  <si>
    <t>Transmission des données (complétude/promptitude)</t>
  </si>
  <si>
    <t>1.11-4.8</t>
  </si>
  <si>
    <t>Analyse et triangulation des données</t>
  </si>
  <si>
    <t>1.11-5.1</t>
  </si>
  <si>
    <t>Utilisation de mSupply</t>
  </si>
  <si>
    <t>1.11-5.2</t>
  </si>
  <si>
    <t>Déploiement Open mSupply</t>
  </si>
  <si>
    <t>1.11-5.3</t>
  </si>
  <si>
    <t>Utilisation de eSIGL</t>
  </si>
  <si>
    <t>1.11-5.4</t>
  </si>
  <si>
    <t>Interopérabilité des systèmes (eSIGL / mSupply / SAP)</t>
  </si>
  <si>
    <t>1.11-5.5</t>
  </si>
  <si>
    <t>Tableau de bord et outils d'aide à la décision</t>
  </si>
  <si>
    <t>1.11-5.6</t>
  </si>
  <si>
    <t>Coordination logistique régionale/nationale</t>
  </si>
  <si>
    <t>1.11-5.7</t>
  </si>
  <si>
    <t>Gouvernance du projet</t>
  </si>
  <si>
    <t>1.11-6.1</t>
  </si>
  <si>
    <t>Partenariat et collaboration inter-institutionnelle</t>
  </si>
  <si>
    <t>1.11-6.2</t>
  </si>
  <si>
    <t>Formation du personnel de santé</t>
  </si>
  <si>
    <t>1.11-6.3</t>
  </si>
  <si>
    <t>Supervision formative</t>
  </si>
  <si>
    <t>1.11-6.4</t>
  </si>
  <si>
    <t>Gestion financière et comptabilité</t>
  </si>
  <si>
    <t>1.11-6.5</t>
  </si>
  <si>
    <t>Suivi-Évaluation du projet</t>
  </si>
  <si>
    <t>1.11-6.6</t>
  </si>
  <si>
    <t>Communication et visibilité du projet</t>
  </si>
  <si>
    <t>1.11-6.7</t>
  </si>
  <si>
    <t>Gestion des produits de laboratoire (charge virale)</t>
  </si>
  <si>
    <t>1.11-6.8</t>
  </si>
  <si>
    <t>Produits communautaires (IST / antipaludiques)</t>
  </si>
  <si>
    <t>1.11-6.9</t>
  </si>
  <si>
    <t>1.11-6.10</t>
  </si>
  <si>
    <t>1.11-6.11</t>
  </si>
  <si>
    <t>1.11-6.12</t>
  </si>
  <si>
    <t>1.11-6.13</t>
  </si>
  <si>
    <t>2.1-1.1</t>
  </si>
  <si>
    <t>2.1-1.2</t>
  </si>
  <si>
    <t>2.1-1.3</t>
  </si>
  <si>
    <t>2.1-1.4</t>
  </si>
  <si>
    <t>2.1-2.1</t>
  </si>
  <si>
    <t>2.1-2.2</t>
  </si>
  <si>
    <t>2.1-2.3</t>
  </si>
  <si>
    <t>2.1-2.4</t>
  </si>
  <si>
    <t>2.1-2.5</t>
  </si>
  <si>
    <t>THEMES_VIGILANCE</t>
  </si>
  <si>
    <t>Quantification et Prévision</t>
  </si>
  <si>
    <t>Gestion de Stocks</t>
  </si>
  <si>
    <t>Distribution et Livraison</t>
  </si>
  <si>
    <t>Données et Reporting</t>
  </si>
  <si>
    <t>Systèmes d'Information</t>
  </si>
  <si>
    <t>Coordination et Gouvernance</t>
  </si>
  <si>
    <t>Formation et Renforcement de Capacités</t>
  </si>
  <si>
    <t>Produits Spécifiques</t>
  </si>
  <si>
    <t>THEME</t>
  </si>
  <si>
    <t>RANGE_NAME</t>
  </si>
  <si>
    <t>AWP_CAT_Quantification_et_Prevision</t>
  </si>
  <si>
    <t>AWP_CAT_Commandes_et_Approvisionnement</t>
  </si>
  <si>
    <t>AWP_CAT_Gestion_de_Stocks</t>
  </si>
  <si>
    <t>2.2-1.2</t>
  </si>
  <si>
    <t>AWP_CAT_Distribution_et_Livraison</t>
  </si>
  <si>
    <t>2.2-1.3</t>
  </si>
  <si>
    <t>AWP_CAT_Donnees_et_Reporting</t>
  </si>
  <si>
    <t>2.2-1.4</t>
  </si>
  <si>
    <t>AWP_CAT_Systemes_d_Information</t>
  </si>
  <si>
    <t>2.2-2.1</t>
  </si>
  <si>
    <t>AWP_CAT_Coordination_et_Gouvernance</t>
  </si>
  <si>
    <t>2.2-2.2</t>
  </si>
  <si>
    <t>AWP_CAT_Formation_et_Renforcement_de_Capacites</t>
  </si>
  <si>
    <t>2.2-2.3</t>
  </si>
  <si>
    <t>AWP_CAT_Gestion_de_Projet</t>
  </si>
  <si>
    <t>2.2-2.4</t>
  </si>
  <si>
    <t>AWP_CAT_Produits_Specifiques</t>
  </si>
  <si>
    <t>2.2-2.5</t>
  </si>
  <si>
    <t>2.2-3.1</t>
  </si>
  <si>
    <t>2.2-3.2</t>
  </si>
  <si>
    <t>2.2-4.1</t>
  </si>
  <si>
    <t>2.2-5.1</t>
  </si>
  <si>
    <t>2.2-5.2</t>
  </si>
  <si>
    <t>2.2-5.3</t>
  </si>
  <si>
    <t>2.2-5.4</t>
  </si>
  <si>
    <t>2.2-5.5</t>
  </si>
  <si>
    <t>2.2-5.6</t>
  </si>
  <si>
    <t>2.2-5.7</t>
  </si>
  <si>
    <t>2.2-5.8</t>
  </si>
  <si>
    <t>2.2-6.1</t>
  </si>
  <si>
    <t>2.2-6.2</t>
  </si>
  <si>
    <t>2.2-6.3</t>
  </si>
  <si>
    <t>2.2-6.4</t>
  </si>
  <si>
    <t>2.2-6.5</t>
  </si>
  <si>
    <t>2.2-7.1</t>
  </si>
  <si>
    <t>2.2-7.2</t>
  </si>
  <si>
    <t>2.2-7.3</t>
  </si>
  <si>
    <t>2.2-7.4</t>
  </si>
  <si>
    <t>2.2-7.5</t>
  </si>
  <si>
    <t>2.2-7.6</t>
  </si>
  <si>
    <t>2.6-1.1</t>
  </si>
  <si>
    <t>2.6-1.2</t>
  </si>
  <si>
    <t>2.6-1.3</t>
  </si>
  <si>
    <t>2.6-2.1</t>
  </si>
  <si>
    <t>2.6-2.2</t>
  </si>
  <si>
    <t>2.6-2.3</t>
  </si>
  <si>
    <t>2.6-2.4</t>
  </si>
  <si>
    <t>2.6-2.5</t>
  </si>
  <si>
    <t>2.6-3.1</t>
  </si>
  <si>
    <t>2.6-3.2</t>
  </si>
  <si>
    <t>2.6-3.3</t>
  </si>
  <si>
    <t>2.6-4.1</t>
  </si>
  <si>
    <t>2.6-5.1</t>
  </si>
  <si>
    <t>2.6-5.2</t>
  </si>
  <si>
    <t>2.6-5.3</t>
  </si>
  <si>
    <t>2.6-5.4</t>
  </si>
  <si>
    <t>2.6-5.5</t>
  </si>
  <si>
    <t>2.6-5.6</t>
  </si>
  <si>
    <t>2.6-5.7</t>
  </si>
  <si>
    <t>2.6-5.8</t>
  </si>
  <si>
    <t>2.6-5.9</t>
  </si>
  <si>
    <t>2.6-6.1</t>
  </si>
  <si>
    <t>2.6-7.1</t>
  </si>
  <si>
    <t>2.6-8.1</t>
  </si>
  <si>
    <t>2.6-9.1</t>
  </si>
  <si>
    <t>3.1-1.1</t>
  </si>
  <si>
    <t>3.1-1.2</t>
  </si>
  <si>
    <t>3.1-1.3</t>
  </si>
  <si>
    <t>3.1-1.4</t>
  </si>
  <si>
    <t>3.2-1.1</t>
  </si>
  <si>
    <t>3.2-1.2</t>
  </si>
  <si>
    <t>3.2-2.1</t>
  </si>
  <si>
    <t>4.1-1.1</t>
  </si>
  <si>
    <t>4.1-1.2</t>
  </si>
  <si>
    <t>4.1-1.3</t>
  </si>
  <si>
    <t>4.1-1.4</t>
  </si>
  <si>
    <t>4.1-1.5</t>
  </si>
  <si>
    <t>4.1-1.6</t>
  </si>
  <si>
    <t>4.1-1.7</t>
  </si>
  <si>
    <t>4.1-1.8</t>
  </si>
  <si>
    <t>4.1-1.9</t>
  </si>
  <si>
    <t>4.1-1.10</t>
  </si>
  <si>
    <t>4.1-1.11</t>
  </si>
  <si>
    <t>4.1-2.1</t>
  </si>
  <si>
    <t>4.1-2.2</t>
  </si>
  <si>
    <t>4.1-2.3</t>
  </si>
  <si>
    <t>4.1-2.4</t>
  </si>
  <si>
    <t>4.1-2.5</t>
  </si>
  <si>
    <t>4.1-2.6</t>
  </si>
  <si>
    <t>4.1-2.7</t>
  </si>
  <si>
    <t>4.1-3.1</t>
  </si>
  <si>
    <t>4.1-3.2</t>
  </si>
  <si>
    <t>4.1-3.3</t>
  </si>
  <si>
    <t>4.1-3.4</t>
  </si>
  <si>
    <t>4.1-3.5</t>
  </si>
  <si>
    <t>4.2-1.1</t>
  </si>
  <si>
    <t>4.2-1.2</t>
  </si>
  <si>
    <t>4.2-1.3</t>
  </si>
  <si>
    <t>4.2-1.4</t>
  </si>
  <si>
    <t>4.2-2.1</t>
  </si>
  <si>
    <t>4.2-2.2</t>
  </si>
  <si>
    <t>4.2-2.3</t>
  </si>
  <si>
    <t>4.2-2.4</t>
  </si>
  <si>
    <t>4.2-2.5</t>
  </si>
  <si>
    <t>4.2.3.1</t>
  </si>
  <si>
    <t>4.2.3.2</t>
  </si>
  <si>
    <t>4.2.3.3</t>
  </si>
  <si>
    <t>4.2.3.4</t>
  </si>
  <si>
    <t>4.2.4.1</t>
  </si>
  <si>
    <t>4.2.4.2</t>
  </si>
  <si>
    <t>4.2.4.3</t>
  </si>
  <si>
    <t>4.2.5.1</t>
  </si>
  <si>
    <t>4.2.5.2</t>
  </si>
  <si>
    <t>4.2.5.3</t>
  </si>
  <si>
    <t>4.2.5.4</t>
  </si>
  <si>
    <t>4.2.5.5</t>
  </si>
  <si>
    <t>4.2.6.1</t>
  </si>
  <si>
    <t>4.2.6.2</t>
  </si>
  <si>
    <t>4.2.6.3</t>
  </si>
  <si>
    <t>4.2.6.4</t>
  </si>
  <si>
    <t>-  Recenser et documenter tous les bugs signalés dans mSupply.
-  Classifier les anomalies par module, fonctionnalité et type d'incident.
-  Évaluer l'impact de chaque bug sur les opérations et les utilisateurs.
-  Définir les niveaux de priorité (critique, majeur, mineur, faible).
-  Élaborer une feuille de route de correction en collaboration avec les équipes techniques et métiers.
-  Assurer le suivi de la résolution des anomalies jusqu'à leur clôture.</t>
  </si>
  <si>
    <t/>
  </si>
  <si>
    <t>*Principales recommandations pour la NPSP*
 Fournir la date probable de livraison du reliquat des produits de prémière ligne sous BGE
 Actualiser le eSigl et le fichier suivi de stock en y rétirant l'amikacine inj
 Retarder la prochaine commande de Bedaquiline 20mg du
 fait du surstock observé au niveau central comme péripherique sur ce produit (  fin septembre au lieu de fin juin 2026)</t>
  </si>
  <si>
    <t>* Résultats clés*
Transmission des observations (date d'effet) sur le document projet d'exonération sur les acquisitions planifiées sur budget du Gouvernement Américain</t>
  </si>
  <si>
    <t>25 au 29 mai 2026</t>
  </si>
  <si>
    <t>25 au 31 mai 2026</t>
  </si>
  <si>
    <t>Semaine du 25 au 29 mai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</si>
</sst>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64" formatCode="_-* #,##0\ &quot;CFA&quot;_-;\-* #,##0\ &quot;CFA&quot;_-;_-* &quot;-&quot;\ &quot;CFA&quot;_-;_-@_-"/>
    <numFmt numFmtId="165" formatCode="_-* #,##0.00\ _C_F_A_-;\-* #,##0.00\ _C_F_A_-;_-* &quot;-&quot;??\ _C_F_A_-;_-@_-"/>
    <numFmt numFmtId="166" formatCode="[$$-409]#,##0.00"/>
  </numFmts>
  <fonts count="37" x14ac:knownFonts="1">
    <font>
      <sz val="11"/>
      <color theme="1"/>
      <name val="Calibri"/>
      <family val="2"/>
      <charset val="1"/>
    </font>
    <font>
      <sz val="11"/>
      <color theme="1"/>
      <name val="Calibri"/>
      <family val="2"/>
      <scheme val="minor"/>
    </font>
    <font>
      <b/>
      <sz val="14"/>
      <color rgb="FFFFFFFF"/>
      <name val="Calibri"/>
      <family val="2"/>
    </font>
    <font>
      <i/>
      <sz val="9"/>
      <color rgb="FFFFFFFF"/>
      <name val="Calibri"/>
      <family val="2"/>
    </font>
    <font>
      <b/>
      <sz val="10"/>
      <color rgb="FF000000"/>
      <name val="Calibri"/>
      <family val="2"/>
    </font>
    <font>
      <sz val="10"/>
      <color rgb="FF000000"/>
      <name val="Calibri"/>
      <family val="2"/>
    </font>
    <font>
      <b/>
      <sz val="10"/>
      <color rgb="FFFFFFFF"/>
      <name val="Calibri"/>
      <family val="2"/>
    </font>
    <font>
      <b/>
      <sz val="9"/>
      <color rgb="FF000000"/>
      <name val="Calibri"/>
      <family val="2"/>
    </font>
    <font>
      <sz val="9"/>
      <color rgb="FF000000"/>
      <name val="Calibri"/>
      <family val="2"/>
    </font>
    <font>
      <i/>
      <sz val="8"/>
      <color rgb="FFFFFFFF"/>
      <name val="Calibri"/>
      <family val="2"/>
    </font>
    <font>
      <b/>
      <sz val="13"/>
      <color rgb="FFFFFFFF"/>
      <name val="Calibri"/>
      <family val="2"/>
    </font>
    <font>
      <i/>
      <sz val="10"/>
      <color rgb="FF7F7F7F"/>
      <name val="Calibri"/>
      <family val="2"/>
    </font>
    <font>
      <i/>
      <sz val="9"/>
      <color rgb="FF000000"/>
      <name val="Calibri"/>
      <family val="2"/>
    </font>
    <font>
      <i/>
      <sz val="8"/>
      <color rgb="FF595959"/>
      <name val="Calibri"/>
      <family val="2"/>
    </font>
    <font>
      <b/>
      <sz val="11"/>
      <color rgb="FFFFFFFF"/>
      <name val="Calibri"/>
      <family val="2"/>
    </font>
    <font>
      <b/>
      <sz val="8"/>
      <color rgb="FF000000"/>
      <name val="Calibri"/>
      <family val="2"/>
    </font>
    <font>
      <sz val="8"/>
      <color rgb="FF000000"/>
      <name val="Calibri"/>
      <family val="2"/>
    </font>
    <font>
      <sz val="10"/>
      <color rgb="FFFFC000"/>
      <name val="Calibri"/>
      <family val="2"/>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0000"/>
      <name val="Calibri"/>
      <family val="2"/>
      <scheme val="minor"/>
    </font>
    <font>
      <sz val="11"/>
      <name val="Aptos Narrow"/>
      <family val="2"/>
    </font>
    <font>
      <sz val="11"/>
      <color rgb="FF000000"/>
      <name val="Aptos Narrow"/>
      <family val="2"/>
    </font>
    <font>
      <b/>
      <sz val="11"/>
      <name val="Aptos Narrow"/>
      <family val="2"/>
    </font>
    <font>
      <sz val="11"/>
      <color rgb="FF000000"/>
      <name val="Calibri"/>
      <family val="2"/>
    </font>
    <font>
      <sz val="11"/>
      <color rgb="FF242424"/>
      <name val="Calibri"/>
      <family val="2"/>
      <scheme val="minor"/>
    </font>
    <font>
      <sz val="11"/>
      <color rgb="FF242424"/>
      <name val="Aptos Narrow"/>
      <family val="2"/>
    </font>
    <font>
      <sz val="12"/>
      <color rgb="FF000000"/>
      <name val="Calibri"/>
      <family val="2"/>
      <scheme val="minor"/>
    </font>
    <font>
      <b/>
      <sz val="9"/>
      <name val="Calibri"/>
      <family val="2"/>
      <scheme val="minor"/>
    </font>
    <font>
      <b/>
      <sz val="11"/>
      <color theme="1"/>
      <name val="Calibri"/>
      <family val="2"/>
      <charset val="1"/>
    </font>
    <font>
      <b/>
      <sz val="11"/>
      <color rgb="FFFFFFFF"/>
      <name val="Calibri"/>
      <family val="2"/>
      <charset val="1"/>
    </font>
    <font>
      <sz val="10"/>
      <color rgb="FF000000"/>
      <name val="Calibri"/>
      <family val="2"/>
      <charset val="1"/>
    </font>
    <font>
      <b/>
      <i/>
      <sz val="11"/>
      <color rgb="FFFFFFFF"/>
      <name val="Calibri"/>
      <family val="2"/>
    </font>
    <font>
      <sz val="10"/>
      <color rgb="FF000000"/>
      <name val="Calibri"/>
    </font>
    <font>
      <b/>
      <sz val="10"/>
      <color rgb="FF000000"/>
      <name val="Calibri"/>
    </font>
  </fonts>
  <fills count="27">
    <fill>
      <patternFill patternType="none"/>
    </fill>
    <fill>
      <patternFill patternType="gray125"/>
    </fill>
    <fill>
      <patternFill patternType="solid">
        <fgColor rgb="FF1F4E79"/>
        <bgColor rgb="FF44546A"/>
      </patternFill>
    </fill>
    <fill>
      <patternFill patternType="solid">
        <fgColor rgb="FF2E75B6"/>
        <bgColor rgb="FF0066CC"/>
      </patternFill>
    </fill>
    <fill>
      <patternFill patternType="solid">
        <fgColor rgb="FFBDD7EE"/>
        <bgColor rgb="FFD9D9D9"/>
      </patternFill>
    </fill>
    <fill>
      <patternFill patternType="solid">
        <fgColor rgb="FFF2F2F2"/>
        <bgColor rgb="FFE2EFDA"/>
      </patternFill>
    </fill>
    <fill>
      <patternFill patternType="solid">
        <fgColor rgb="FFFFFFFF"/>
        <bgColor rgb="FFF2F2F2"/>
      </patternFill>
    </fill>
    <fill>
      <patternFill patternType="solid">
        <fgColor rgb="FFDEEAF1"/>
        <bgColor rgb="FFE2EFDA"/>
      </patternFill>
    </fill>
    <fill>
      <patternFill patternType="solid">
        <fgColor rgb="FFD9D9D9"/>
        <bgColor rgb="FFDEEAF1"/>
      </patternFill>
    </fill>
    <fill>
      <patternFill patternType="solid">
        <fgColor rgb="FFFFF2CC"/>
        <bgColor rgb="FFFCE4D6"/>
      </patternFill>
    </fill>
    <fill>
      <patternFill patternType="solid">
        <fgColor rgb="FFC55A11"/>
        <bgColor rgb="FF993300"/>
      </patternFill>
    </fill>
    <fill>
      <patternFill patternType="solid">
        <fgColor rgb="FFFCE4D6"/>
        <bgColor rgb="FFFFE0E0"/>
      </patternFill>
    </fill>
    <fill>
      <patternFill patternType="solid">
        <fgColor rgb="FF548235"/>
        <bgColor rgb="FF339966"/>
      </patternFill>
    </fill>
    <fill>
      <patternFill patternType="solid">
        <fgColor rgb="FFE2EFDA"/>
        <bgColor rgb="FFDEEAF1"/>
      </patternFill>
    </fill>
    <fill>
      <patternFill patternType="solid">
        <fgColor rgb="FF9E0000"/>
        <bgColor rgb="FF800000"/>
      </patternFill>
    </fill>
    <fill>
      <patternFill patternType="solid">
        <fgColor rgb="FFFFE0E0"/>
        <bgColor rgb="FFFCE4D6"/>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0"/>
        <bgColor indexed="64"/>
      </patternFill>
    </fill>
    <fill>
      <patternFill patternType="solid">
        <fgColor rgb="FFFFFFFF"/>
        <bgColor rgb="FF000000"/>
      </patternFill>
    </fill>
    <fill>
      <patternFill patternType="solid">
        <fgColor rgb="FFFFC000"/>
        <bgColor indexed="64"/>
      </patternFill>
    </fill>
    <fill>
      <patternFill patternType="solid">
        <fgColor rgb="FFBDD7EE"/>
        <bgColor indexed="64"/>
      </patternFill>
    </fill>
    <fill>
      <patternFill patternType="solid">
        <fgColor rgb="FFFFF2CC"/>
        <bgColor indexed="64"/>
      </patternFill>
    </fill>
    <fill>
      <patternFill patternType="solid">
        <fgColor rgb="FFFF0000"/>
        <bgColor indexed="64"/>
      </patternFill>
    </fill>
    <fill>
      <patternFill patternType="solid">
        <fgColor rgb="FF7030A0"/>
        <bgColor indexed="64"/>
      </patternFill>
    </fill>
    <fill>
      <patternFill patternType="solid">
        <fgColor rgb="FFE2EFDA"/>
        <bgColor indexed="64"/>
      </patternFill>
    </fill>
  </fills>
  <borders count="9">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theme="4"/>
      </left>
      <right/>
      <top style="thin">
        <color theme="7"/>
      </top>
      <bottom/>
      <diagonal/>
    </border>
    <border>
      <left style="thin">
        <color theme="4"/>
      </left>
      <right/>
      <top style="thin">
        <color theme="7"/>
      </top>
      <bottom style="thin">
        <color theme="4"/>
      </bottom>
      <diagonal/>
    </border>
    <border>
      <left style="thin">
        <color theme="4"/>
      </left>
      <right/>
      <top style="thin">
        <color theme="4"/>
      </top>
      <bottom style="thin">
        <color theme="4"/>
      </bottom>
      <diagonal/>
    </border>
    <border>
      <left style="thin">
        <color theme="4"/>
      </left>
      <right/>
      <top style="thin">
        <color theme="4"/>
      </top>
      <bottom/>
      <diagonal/>
    </border>
  </borders>
  <cellStyleXfs count="5">
    <xf numFmtId="0" fontId="0" fillId="0" borderId="0"/>
    <xf numFmtId="0" fontId="1" fillId="0" borderId="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cellStyleXfs>
  <cellXfs count="246">
    <xf numFmtId="0" fontId="0" fillId="0" borderId="0" xfId="0"/>
    <xf numFmtId="0" fontId="5" fillId="9" borderId="2" xfId="0" applyFont="1" applyFill="1" applyBorder="1" applyAlignment="1">
      <alignment horizontal="left" vertical="top" wrapText="1"/>
    </xf>
    <xf numFmtId="0" fontId="7" fillId="4" borderId="2" xfId="0" applyFont="1" applyFill="1" applyBorder="1" applyAlignment="1">
      <alignment horizontal="center" vertical="center" wrapText="1"/>
    </xf>
    <xf numFmtId="0" fontId="7" fillId="7" borderId="2" xfId="0" applyFont="1" applyFill="1" applyBorder="1" applyAlignment="1">
      <alignment horizontal="center" vertical="center"/>
    </xf>
    <xf numFmtId="0" fontId="7" fillId="7" borderId="2" xfId="0" applyFont="1" applyFill="1" applyBorder="1" applyAlignment="1">
      <alignment horizontal="left" vertical="center"/>
    </xf>
    <xf numFmtId="0" fontId="4" fillId="8" borderId="2" xfId="0" applyFont="1" applyFill="1" applyBorder="1" applyAlignment="1">
      <alignment horizontal="center" vertical="center"/>
    </xf>
    <xf numFmtId="0" fontId="8" fillId="5" borderId="2" xfId="0" applyFont="1" applyFill="1" applyBorder="1" applyAlignment="1">
      <alignment horizontal="center" vertical="center"/>
    </xf>
    <xf numFmtId="0" fontId="15" fillId="7" borderId="2" xfId="0" applyFont="1" applyFill="1" applyBorder="1" applyAlignment="1">
      <alignment horizontal="center" vertical="center" wrapText="1"/>
    </xf>
    <xf numFmtId="0" fontId="16" fillId="5" borderId="2" xfId="0" applyFont="1" applyFill="1" applyBorder="1" applyAlignment="1">
      <alignment horizontal="center" vertical="center"/>
    </xf>
    <xf numFmtId="0" fontId="8" fillId="0" borderId="2" xfId="0" applyFont="1" applyBorder="1" applyAlignment="1">
      <alignment horizontal="left" vertical="top" wrapText="1"/>
    </xf>
    <xf numFmtId="0" fontId="0" fillId="0" borderId="0" xfId="0" applyAlignment="1">
      <alignment vertical="center"/>
    </xf>
    <xf numFmtId="0" fontId="5" fillId="9"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4" fillId="4" borderId="2" xfId="0" applyFont="1" applyFill="1" applyBorder="1" applyAlignment="1">
      <alignment horizontal="left" vertical="center"/>
    </xf>
    <xf numFmtId="0" fontId="4" fillId="8" borderId="2" xfId="0" applyFont="1" applyFill="1" applyBorder="1" applyAlignment="1">
      <alignment horizontal="left" vertical="center"/>
    </xf>
    <xf numFmtId="0" fontId="20" fillId="0" borderId="0" xfId="1" applyFont="1" applyAlignment="1">
      <alignment vertical="center"/>
    </xf>
    <xf numFmtId="41" fontId="21" fillId="0" borderId="0" xfId="2" applyFont="1" applyFill="1" applyAlignment="1" applyProtection="1">
      <alignment vertical="center"/>
    </xf>
    <xf numFmtId="41" fontId="20" fillId="0" borderId="0" xfId="2" applyFont="1" applyFill="1" applyAlignment="1" applyProtection="1">
      <alignment horizontal="right" vertical="center"/>
    </xf>
    <xf numFmtId="0" fontId="20" fillId="0" borderId="0" xfId="1" applyFont="1" applyAlignment="1">
      <alignment horizontal="center" vertical="center" wrapText="1"/>
    </xf>
    <xf numFmtId="0" fontId="20" fillId="0" borderId="0" xfId="1" applyFont="1" applyAlignment="1">
      <alignment horizontal="left" vertical="center"/>
    </xf>
    <xf numFmtId="0" fontId="20" fillId="0" borderId="0" xfId="1" applyFont="1" applyAlignment="1">
      <alignment horizontal="center" vertical="center"/>
    </xf>
    <xf numFmtId="0" fontId="20" fillId="0" borderId="0" xfId="1" applyFont="1" applyAlignment="1" applyProtection="1">
      <alignment horizontal="center" vertical="center"/>
      <protection locked="0"/>
    </xf>
    <xf numFmtId="0" fontId="21" fillId="0" borderId="0" xfId="1" applyFont="1" applyAlignment="1">
      <alignment horizontal="left" vertical="center"/>
    </xf>
    <xf numFmtId="41" fontId="20" fillId="0" borderId="0" xfId="1" applyNumberFormat="1" applyFont="1" applyAlignment="1">
      <alignment vertical="center"/>
    </xf>
    <xf numFmtId="41" fontId="22" fillId="0" borderId="0" xfId="2" applyFont="1" applyBorder="1" applyAlignment="1">
      <alignment horizontal="right" vertical="center" wrapText="1"/>
    </xf>
    <xf numFmtId="0" fontId="20" fillId="0" borderId="2" xfId="1" applyFont="1" applyBorder="1" applyAlignment="1">
      <alignment vertical="center"/>
    </xf>
    <xf numFmtId="41" fontId="20" fillId="0" borderId="2" xfId="2" applyFont="1" applyBorder="1" applyAlignment="1">
      <alignment horizontal="right" vertical="center"/>
    </xf>
    <xf numFmtId="41" fontId="19" fillId="0" borderId="2" xfId="2" applyFont="1" applyFill="1" applyBorder="1" applyAlignment="1" applyProtection="1">
      <alignment horizontal="right" vertical="center"/>
    </xf>
    <xf numFmtId="41" fontId="20" fillId="0" borderId="2" xfId="2" applyFont="1" applyFill="1" applyBorder="1" applyAlignment="1" applyProtection="1">
      <alignment horizontal="right" vertical="center"/>
    </xf>
    <xf numFmtId="0" fontId="20" fillId="0" borderId="2" xfId="1" applyFont="1" applyBorder="1" applyAlignment="1">
      <alignment horizontal="center" vertical="center" wrapText="1"/>
    </xf>
    <xf numFmtId="166" fontId="20" fillId="0" borderId="2" xfId="3" applyNumberFormat="1" applyFont="1" applyBorder="1" applyAlignment="1">
      <alignment horizontal="center" vertical="center" wrapText="1"/>
    </xf>
    <xf numFmtId="0" fontId="20" fillId="0" borderId="2" xfId="1" applyFont="1" applyBorder="1" applyAlignment="1">
      <alignment horizontal="left" vertical="center" wrapText="1"/>
    </xf>
    <xf numFmtId="14" fontId="20" fillId="0" borderId="2" xfId="1" applyNumberFormat="1" applyFont="1" applyBorder="1" applyAlignment="1">
      <alignment horizontal="center" vertical="center"/>
    </xf>
    <xf numFmtId="0" fontId="20" fillId="0" borderId="2" xfId="1" applyFont="1" applyBorder="1" applyAlignment="1" applyProtection="1">
      <alignment horizontal="center" vertical="center"/>
      <protection locked="0"/>
    </xf>
    <xf numFmtId="0" fontId="20" fillId="0" borderId="2" xfId="1" applyFont="1" applyBorder="1" applyAlignment="1">
      <alignment horizontal="center" vertical="center"/>
    </xf>
    <xf numFmtId="0" fontId="21" fillId="0" borderId="2" xfId="1" applyFont="1" applyBorder="1" applyAlignment="1">
      <alignment horizontal="left" vertical="center" wrapText="1"/>
    </xf>
    <xf numFmtId="41" fontId="20" fillId="16" borderId="2" xfId="2" applyFont="1" applyFill="1" applyBorder="1" applyAlignment="1">
      <alignment horizontal="right" vertical="center"/>
    </xf>
    <xf numFmtId="0" fontId="20" fillId="0" borderId="2" xfId="1" applyFont="1" applyBorder="1" applyAlignment="1">
      <alignment horizontal="left" vertical="center"/>
    </xf>
    <xf numFmtId="0" fontId="1" fillId="0" borderId="2" xfId="1" applyBorder="1" applyAlignment="1">
      <alignment horizontal="center" vertical="center"/>
    </xf>
    <xf numFmtId="49" fontId="20" fillId="0" borderId="2" xfId="1" applyNumberFormat="1" applyFont="1" applyBorder="1" applyAlignment="1">
      <alignment horizontal="left" vertical="center" wrapText="1"/>
    </xf>
    <xf numFmtId="0" fontId="1" fillId="0" borderId="2" xfId="1" applyBorder="1" applyAlignment="1">
      <alignment horizontal="center" vertical="center" wrapText="1"/>
    </xf>
    <xf numFmtId="0" fontId="1" fillId="0" borderId="2" xfId="1" applyBorder="1" applyAlignment="1">
      <alignment horizontal="left" vertical="center" wrapText="1"/>
    </xf>
    <xf numFmtId="0" fontId="23" fillId="0" borderId="2" xfId="1" applyFont="1" applyBorder="1" applyAlignment="1">
      <alignment horizontal="left" vertical="center" wrapText="1"/>
    </xf>
    <xf numFmtId="41" fontId="1" fillId="0" borderId="2" xfId="1" applyNumberFormat="1" applyBorder="1" applyAlignment="1">
      <alignment vertical="center"/>
    </xf>
    <xf numFmtId="41" fontId="20" fillId="0" borderId="2" xfId="2" applyFont="1" applyBorder="1" applyAlignment="1" applyProtection="1">
      <alignment horizontal="right" vertical="center"/>
      <protection locked="0"/>
    </xf>
    <xf numFmtId="41" fontId="20" fillId="16" borderId="2" xfId="2" applyFont="1" applyFill="1" applyBorder="1" applyAlignment="1" applyProtection="1">
      <alignment horizontal="right" vertical="center"/>
      <protection locked="0"/>
    </xf>
    <xf numFmtId="41" fontId="20" fillId="0" borderId="2" xfId="2" applyFont="1" applyFill="1" applyBorder="1" applyAlignment="1">
      <alignment horizontal="right" vertical="center"/>
    </xf>
    <xf numFmtId="41" fontId="20" fillId="0" borderId="2" xfId="2" applyFont="1" applyFill="1" applyBorder="1" applyAlignment="1" applyProtection="1">
      <alignment horizontal="right" vertical="center" wrapText="1"/>
    </xf>
    <xf numFmtId="0" fontId="20" fillId="0" borderId="2" xfId="1" applyFont="1" applyBorder="1" applyAlignment="1" applyProtection="1">
      <alignment horizontal="center" vertical="center" wrapText="1"/>
      <protection locked="0"/>
    </xf>
    <xf numFmtId="0" fontId="1" fillId="0" borderId="0" xfId="1" applyAlignment="1">
      <alignment vertical="center"/>
    </xf>
    <xf numFmtId="41" fontId="0" fillId="0" borderId="2" xfId="2" applyFont="1" applyBorder="1" applyAlignment="1" applyProtection="1">
      <alignment horizontal="right" vertical="center"/>
      <protection locked="0"/>
    </xf>
    <xf numFmtId="41" fontId="0" fillId="0" borderId="2" xfId="2" applyFont="1" applyFill="1" applyBorder="1" applyAlignment="1">
      <alignment horizontal="right" vertical="center" wrapText="1"/>
    </xf>
    <xf numFmtId="41" fontId="21" fillId="0" borderId="2" xfId="2" applyFont="1" applyBorder="1" applyAlignment="1">
      <alignment horizontal="right" vertical="center"/>
    </xf>
    <xf numFmtId="41" fontId="0" fillId="0" borderId="2" xfId="2" applyFont="1" applyFill="1" applyBorder="1" applyAlignment="1" applyProtection="1">
      <alignment horizontal="right" vertical="center" wrapText="1"/>
    </xf>
    <xf numFmtId="41" fontId="22" fillId="0" borderId="2" xfId="2" applyFont="1" applyFill="1" applyBorder="1" applyAlignment="1" applyProtection="1">
      <alignment horizontal="right" vertical="center" wrapText="1"/>
    </xf>
    <xf numFmtId="166" fontId="22" fillId="0" borderId="2" xfId="3" applyNumberFormat="1" applyFont="1" applyFill="1" applyBorder="1" applyAlignment="1" applyProtection="1">
      <alignment horizontal="center" vertical="center" wrapText="1"/>
      <protection locked="0"/>
    </xf>
    <xf numFmtId="0" fontId="22" fillId="0" borderId="2" xfId="1" applyFont="1" applyBorder="1" applyAlignment="1">
      <alignment horizontal="center" vertical="center" wrapText="1"/>
    </xf>
    <xf numFmtId="14" fontId="1" fillId="0" borderId="2" xfId="1" applyNumberFormat="1" applyBorder="1" applyAlignment="1">
      <alignment horizontal="center" vertical="center"/>
    </xf>
    <xf numFmtId="14" fontId="1" fillId="0" borderId="2" xfId="1" applyNumberFormat="1" applyBorder="1" applyAlignment="1">
      <alignment horizontal="center" vertical="center" wrapText="1"/>
    </xf>
    <xf numFmtId="41" fontId="0" fillId="16" borderId="2" xfId="2" applyFont="1" applyFill="1" applyBorder="1" applyAlignment="1" applyProtection="1">
      <alignment horizontal="right" vertical="center"/>
      <protection locked="0"/>
    </xf>
    <xf numFmtId="41" fontId="0" fillId="0" borderId="2" xfId="2" applyFont="1" applyFill="1" applyBorder="1" applyAlignment="1" applyProtection="1">
      <alignment horizontal="right" vertical="center" wrapText="1"/>
      <protection locked="0"/>
    </xf>
    <xf numFmtId="0" fontId="20" fillId="0" borderId="2" xfId="1" quotePrefix="1" applyFont="1" applyBorder="1" applyAlignment="1">
      <alignment horizontal="left" vertical="center" wrapText="1"/>
    </xf>
    <xf numFmtId="41" fontId="0" fillId="0" borderId="2" xfId="2" applyFont="1" applyBorder="1" applyAlignment="1">
      <alignment horizontal="right" vertical="center"/>
    </xf>
    <xf numFmtId="0" fontId="1" fillId="0" borderId="2" xfId="1" applyBorder="1" applyAlignment="1" applyProtection="1">
      <alignment horizontal="center" vertical="center" wrapText="1"/>
      <protection locked="0"/>
    </xf>
    <xf numFmtId="41" fontId="0" fillId="0" borderId="2" xfId="2" applyFont="1" applyFill="1" applyBorder="1" applyAlignment="1" applyProtection="1">
      <alignment horizontal="right" vertical="center"/>
      <protection locked="0"/>
    </xf>
    <xf numFmtId="41" fontId="0" fillId="0" borderId="2" xfId="2" applyFont="1" applyFill="1" applyBorder="1" applyAlignment="1" applyProtection="1">
      <alignment horizontal="right" vertical="center"/>
    </xf>
    <xf numFmtId="164" fontId="0" fillId="0" borderId="2" xfId="4" applyFont="1" applyFill="1" applyBorder="1" applyAlignment="1" applyProtection="1">
      <alignment horizontal="center" vertical="center" wrapText="1"/>
    </xf>
    <xf numFmtId="166" fontId="22" fillId="0" borderId="2" xfId="1" applyNumberFormat="1" applyFont="1" applyBorder="1" applyAlignment="1">
      <alignment horizontal="center" vertical="center" wrapText="1"/>
    </xf>
    <xf numFmtId="166" fontId="22" fillId="0" borderId="2" xfId="3" applyNumberFormat="1" applyFont="1" applyFill="1" applyBorder="1" applyAlignment="1" applyProtection="1">
      <alignment horizontal="left" vertical="center" wrapText="1"/>
    </xf>
    <xf numFmtId="0" fontId="22" fillId="0" borderId="2" xfId="1" applyFont="1" applyBorder="1" applyAlignment="1">
      <alignment horizontal="left" vertical="center" wrapText="1"/>
    </xf>
    <xf numFmtId="14" fontId="20" fillId="0" borderId="2" xfId="1" applyNumberFormat="1" applyFont="1" applyBorder="1" applyAlignment="1">
      <alignment horizontal="center" vertical="center" wrapText="1"/>
    </xf>
    <xf numFmtId="166" fontId="22" fillId="0" borderId="2" xfId="3" applyNumberFormat="1" applyFont="1" applyFill="1" applyBorder="1" applyAlignment="1">
      <alignment horizontal="center" vertical="center" wrapText="1"/>
    </xf>
    <xf numFmtId="0" fontId="1" fillId="0" borderId="2" xfId="1" applyBorder="1" applyAlignment="1">
      <alignment horizontal="left" vertical="center"/>
    </xf>
    <xf numFmtId="166" fontId="22" fillId="0" borderId="2" xfId="3" applyNumberFormat="1" applyFont="1" applyFill="1" applyBorder="1" applyAlignment="1" applyProtection="1">
      <alignment horizontal="center" vertical="center" wrapText="1"/>
    </xf>
    <xf numFmtId="41" fontId="24" fillId="0" borderId="2" xfId="2" applyFont="1" applyBorder="1" applyAlignment="1" applyProtection="1">
      <alignment horizontal="right" vertical="center"/>
      <protection locked="0"/>
    </xf>
    <xf numFmtId="41" fontId="24" fillId="0" borderId="2" xfId="2" applyFont="1" applyFill="1" applyBorder="1" applyAlignment="1" applyProtection="1">
      <alignment horizontal="right" vertical="center" wrapText="1"/>
    </xf>
    <xf numFmtId="0" fontId="24" fillId="0" borderId="2" xfId="1" applyFont="1" applyBorder="1" applyAlignment="1">
      <alignment horizontal="center" vertical="center" wrapText="1"/>
    </xf>
    <xf numFmtId="0" fontId="24" fillId="0" borderId="2" xfId="1" applyFont="1" applyBorder="1" applyAlignment="1">
      <alignment horizontal="left" vertical="center" wrapText="1"/>
    </xf>
    <xf numFmtId="0" fontId="25" fillId="0" borderId="2" xfId="1" applyFont="1" applyBorder="1" applyAlignment="1">
      <alignment horizontal="left" vertical="center" wrapText="1"/>
    </xf>
    <xf numFmtId="41" fontId="20" fillId="0" borderId="2" xfId="2" applyFont="1" applyFill="1" applyBorder="1" applyAlignment="1" applyProtection="1">
      <alignment horizontal="right" vertical="center"/>
      <protection locked="0"/>
    </xf>
    <xf numFmtId="41" fontId="24" fillId="16" borderId="2" xfId="2" applyFont="1" applyFill="1" applyBorder="1" applyAlignment="1" applyProtection="1">
      <alignment horizontal="right" vertical="center"/>
      <protection locked="0"/>
    </xf>
    <xf numFmtId="41" fontId="20" fillId="0" borderId="2" xfId="2" applyFont="1" applyFill="1" applyBorder="1" applyAlignment="1" applyProtection="1">
      <alignment horizontal="right" vertical="center" wrapText="1"/>
      <protection locked="0"/>
    </xf>
    <xf numFmtId="9" fontId="20" fillId="0" borderId="2" xfId="1" applyNumberFormat="1" applyFont="1" applyBorder="1" applyAlignment="1">
      <alignment horizontal="left" vertical="center" wrapText="1"/>
    </xf>
    <xf numFmtId="0" fontId="21" fillId="0" borderId="0" xfId="1" applyFont="1" applyAlignment="1">
      <alignment horizontal="center" vertical="center"/>
    </xf>
    <xf numFmtId="41" fontId="1" fillId="17" borderId="2" xfId="1" applyNumberFormat="1" applyFill="1" applyBorder="1" applyAlignment="1">
      <alignment vertical="center"/>
    </xf>
    <xf numFmtId="41" fontId="21" fillId="0" borderId="2" xfId="2" applyFont="1" applyFill="1" applyBorder="1" applyAlignment="1" applyProtection="1">
      <alignment horizontal="right" vertical="center"/>
    </xf>
    <xf numFmtId="41" fontId="21" fillId="18" borderId="2" xfId="2" applyFont="1" applyFill="1" applyBorder="1" applyAlignment="1" applyProtection="1">
      <alignment horizontal="right" vertical="center"/>
    </xf>
    <xf numFmtId="41" fontId="21" fillId="18" borderId="2" xfId="2" applyFont="1" applyFill="1" applyBorder="1" applyAlignment="1">
      <alignment horizontal="right" vertical="center"/>
    </xf>
    <xf numFmtId="0" fontId="20" fillId="18" borderId="2" xfId="1" applyFont="1" applyFill="1" applyBorder="1" applyAlignment="1">
      <alignment horizontal="center" vertical="center"/>
    </xf>
    <xf numFmtId="0" fontId="20" fillId="18" borderId="2" xfId="1" applyFont="1" applyFill="1" applyBorder="1" applyAlignment="1">
      <alignment horizontal="left" vertical="center"/>
    </xf>
    <xf numFmtId="0" fontId="20" fillId="18" borderId="2" xfId="1" applyFont="1" applyFill="1" applyBorder="1" applyAlignment="1" applyProtection="1">
      <alignment horizontal="center" vertical="center"/>
      <protection locked="0"/>
    </xf>
    <xf numFmtId="0" fontId="21" fillId="18" borderId="2" xfId="1" applyFont="1" applyFill="1" applyBorder="1" applyAlignment="1">
      <alignment horizontal="left" vertical="center"/>
    </xf>
    <xf numFmtId="166" fontId="20" fillId="0" borderId="2" xfId="3" applyNumberFormat="1" applyFont="1" applyFill="1" applyBorder="1" applyAlignment="1" applyProtection="1">
      <alignment horizontal="center" vertical="center" wrapText="1"/>
    </xf>
    <xf numFmtId="0" fontId="21" fillId="19" borderId="0" xfId="1" applyFont="1" applyFill="1" applyAlignment="1">
      <alignment horizontal="center" vertical="center"/>
    </xf>
    <xf numFmtId="41" fontId="21" fillId="0" borderId="2" xfId="2" applyFont="1" applyBorder="1" applyAlignment="1" applyProtection="1">
      <alignment horizontal="right" vertical="center"/>
      <protection locked="0"/>
    </xf>
    <xf numFmtId="41" fontId="21" fillId="19" borderId="2" xfId="2" applyFont="1" applyFill="1" applyBorder="1" applyAlignment="1" applyProtection="1">
      <alignment horizontal="right" vertical="center"/>
      <protection locked="0"/>
    </xf>
    <xf numFmtId="0" fontId="24" fillId="0" borderId="2" xfId="1" applyFont="1" applyBorder="1" applyAlignment="1">
      <alignment horizontal="center" vertical="center"/>
    </xf>
    <xf numFmtId="0" fontId="20" fillId="19" borderId="2" xfId="1" applyFont="1" applyFill="1" applyBorder="1" applyAlignment="1">
      <alignment horizontal="left" vertical="center" wrapText="1"/>
    </xf>
    <xf numFmtId="14" fontId="20" fillId="19" borderId="2" xfId="1" applyNumberFormat="1" applyFont="1" applyFill="1" applyBorder="1" applyAlignment="1">
      <alignment horizontal="center" vertical="center"/>
    </xf>
    <xf numFmtId="14" fontId="20" fillId="19" borderId="2" xfId="1" applyNumberFormat="1" applyFont="1" applyFill="1" applyBorder="1" applyAlignment="1">
      <alignment horizontal="center" vertical="center" wrapText="1"/>
    </xf>
    <xf numFmtId="0" fontId="20" fillId="19" borderId="2" xfId="1" applyFont="1" applyFill="1" applyBorder="1" applyAlignment="1" applyProtection="1">
      <alignment horizontal="center" vertical="center"/>
      <protection locked="0"/>
    </xf>
    <xf numFmtId="0" fontId="20" fillId="19" borderId="2" xfId="1" applyFont="1" applyFill="1" applyBorder="1" applyAlignment="1">
      <alignment horizontal="center" vertical="center"/>
    </xf>
    <xf numFmtId="0" fontId="21" fillId="19" borderId="2" xfId="1" applyFont="1" applyFill="1" applyBorder="1" applyAlignment="1">
      <alignment horizontal="left" vertical="center" wrapText="1"/>
    </xf>
    <xf numFmtId="41" fontId="21" fillId="16" borderId="2" xfId="2" applyFont="1" applyFill="1" applyBorder="1" applyAlignment="1" applyProtection="1">
      <alignment horizontal="right" vertical="center"/>
      <protection locked="0"/>
    </xf>
    <xf numFmtId="0" fontId="1" fillId="19" borderId="0" xfId="1" applyFill="1" applyAlignment="1">
      <alignment vertical="center"/>
    </xf>
    <xf numFmtId="41" fontId="0" fillId="19" borderId="2" xfId="2" applyFont="1" applyFill="1" applyBorder="1" applyAlignment="1" applyProtection="1">
      <alignment horizontal="right" vertical="center"/>
      <protection locked="0"/>
    </xf>
    <xf numFmtId="41" fontId="20" fillId="19" borderId="2" xfId="2" applyFont="1" applyFill="1" applyBorder="1" applyAlignment="1" applyProtection="1">
      <alignment horizontal="right" vertical="center"/>
      <protection locked="0"/>
    </xf>
    <xf numFmtId="41" fontId="22" fillId="0" borderId="2" xfId="2" applyFont="1" applyFill="1" applyBorder="1" applyAlignment="1" applyProtection="1">
      <alignment horizontal="right" vertical="center"/>
    </xf>
    <xf numFmtId="0" fontId="20" fillId="19" borderId="2" xfId="1" applyFont="1" applyFill="1" applyBorder="1" applyAlignment="1">
      <alignment horizontal="center" vertical="center" wrapText="1"/>
    </xf>
    <xf numFmtId="166" fontId="20" fillId="19" borderId="2" xfId="3" applyNumberFormat="1" applyFont="1" applyFill="1" applyBorder="1" applyAlignment="1" applyProtection="1">
      <alignment horizontal="center" vertical="center" wrapText="1"/>
    </xf>
    <xf numFmtId="0" fontId="20" fillId="19" borderId="2" xfId="1" applyFont="1" applyFill="1" applyBorder="1" applyAlignment="1">
      <alignment horizontal="left" vertical="center"/>
    </xf>
    <xf numFmtId="0" fontId="20" fillId="19" borderId="2" xfId="1" applyFont="1" applyFill="1" applyBorder="1" applyAlignment="1" applyProtection="1">
      <alignment horizontal="center" vertical="center" wrapText="1"/>
      <protection locked="0"/>
    </xf>
    <xf numFmtId="0" fontId="1" fillId="19" borderId="2" xfId="1" applyFill="1" applyBorder="1" applyAlignment="1">
      <alignment horizontal="center" vertical="center" wrapText="1"/>
    </xf>
    <xf numFmtId="0" fontId="1" fillId="19" borderId="2" xfId="1" applyFill="1" applyBorder="1" applyAlignment="1">
      <alignment horizontal="left" vertical="center" wrapText="1"/>
    </xf>
    <xf numFmtId="14" fontId="1" fillId="19" borderId="2" xfId="1" applyNumberFormat="1" applyFill="1" applyBorder="1" applyAlignment="1">
      <alignment horizontal="center" vertical="center" wrapText="1"/>
    </xf>
    <xf numFmtId="166" fontId="22" fillId="0" borderId="2" xfId="3" applyNumberFormat="1" applyFont="1" applyBorder="1" applyAlignment="1" applyProtection="1">
      <alignment horizontal="center" vertical="center" wrapText="1"/>
      <protection locked="0"/>
    </xf>
    <xf numFmtId="0" fontId="1" fillId="0" borderId="2" xfId="1" applyBorder="1" applyAlignment="1" applyProtection="1">
      <alignment horizontal="center" vertical="center"/>
      <protection locked="0"/>
    </xf>
    <xf numFmtId="41" fontId="19" fillId="16" borderId="2" xfId="2" applyFont="1" applyFill="1" applyBorder="1" applyAlignment="1" applyProtection="1">
      <alignment horizontal="right" vertical="center"/>
      <protection locked="0"/>
    </xf>
    <xf numFmtId="41" fontId="22" fillId="0" borderId="2" xfId="2" applyFont="1" applyFill="1" applyBorder="1" applyAlignment="1" applyProtection="1">
      <alignment horizontal="right" vertical="center" wrapText="1"/>
      <protection locked="0"/>
    </xf>
    <xf numFmtId="41" fontId="19" fillId="0" borderId="2" xfId="2" applyFont="1" applyBorder="1" applyAlignment="1" applyProtection="1">
      <alignment horizontal="right" vertical="center"/>
      <protection locked="0"/>
    </xf>
    <xf numFmtId="49" fontId="22" fillId="0" borderId="2" xfId="3" applyNumberFormat="1" applyFont="1" applyFill="1" applyBorder="1" applyAlignment="1" applyProtection="1">
      <alignment horizontal="center" vertical="center" wrapText="1"/>
      <protection locked="0"/>
    </xf>
    <xf numFmtId="166" fontId="20" fillId="0" borderId="2" xfId="3" applyNumberFormat="1" applyFont="1" applyFill="1" applyBorder="1" applyAlignment="1" applyProtection="1">
      <alignment horizontal="center" vertical="center"/>
    </xf>
    <xf numFmtId="0" fontId="1" fillId="19" borderId="2" xfId="1" applyFill="1" applyBorder="1" applyAlignment="1">
      <alignment horizontal="left" vertical="center"/>
    </xf>
    <xf numFmtId="14" fontId="1" fillId="19" borderId="2" xfId="1" applyNumberFormat="1" applyFill="1" applyBorder="1" applyAlignment="1">
      <alignment horizontal="center" vertical="center"/>
    </xf>
    <xf numFmtId="41" fontId="22" fillId="16" borderId="2" xfId="2" applyFont="1" applyFill="1" applyBorder="1" applyAlignment="1" applyProtection="1">
      <alignment horizontal="right" vertical="center" wrapText="1"/>
    </xf>
    <xf numFmtId="14" fontId="20" fillId="0" borderId="2" xfId="1" quotePrefix="1" applyNumberFormat="1" applyFont="1" applyBorder="1" applyAlignment="1">
      <alignment horizontal="center" vertical="center" wrapText="1"/>
    </xf>
    <xf numFmtId="0" fontId="1" fillId="0" borderId="4" xfId="1" applyBorder="1" applyAlignment="1">
      <alignment vertical="center"/>
    </xf>
    <xf numFmtId="0" fontId="20" fillId="0" borderId="4" xfId="1" applyFont="1" applyBorder="1" applyAlignment="1">
      <alignment vertical="center"/>
    </xf>
    <xf numFmtId="0" fontId="18" fillId="0" borderId="2" xfId="1" applyFont="1" applyBorder="1" applyAlignment="1">
      <alignment horizontal="left" vertical="center" wrapText="1"/>
    </xf>
    <xf numFmtId="41" fontId="21" fillId="0" borderId="2" xfId="2" applyFont="1" applyFill="1" applyBorder="1" applyAlignment="1" applyProtection="1">
      <alignment horizontal="right" vertical="center"/>
      <protection locked="0"/>
    </xf>
    <xf numFmtId="41" fontId="20" fillId="0" borderId="2" xfId="1" applyNumberFormat="1" applyFont="1" applyBorder="1" applyAlignment="1">
      <alignment vertical="center"/>
    </xf>
    <xf numFmtId="41" fontId="22" fillId="19" borderId="2" xfId="2" applyFont="1" applyFill="1" applyBorder="1" applyAlignment="1">
      <alignment horizontal="right" vertical="center" wrapText="1"/>
    </xf>
    <xf numFmtId="166" fontId="26" fillId="19" borderId="2" xfId="3" applyNumberFormat="1" applyFont="1" applyFill="1" applyBorder="1" applyAlignment="1" applyProtection="1">
      <alignment horizontal="center" vertical="center" wrapText="1"/>
    </xf>
    <xf numFmtId="166" fontId="22" fillId="19" borderId="2" xfId="3" applyNumberFormat="1" applyFont="1" applyFill="1" applyBorder="1" applyAlignment="1" applyProtection="1">
      <alignment horizontal="center" vertical="center" wrapText="1"/>
    </xf>
    <xf numFmtId="0" fontId="20" fillId="19" borderId="2" xfId="1" quotePrefix="1" applyFont="1" applyFill="1" applyBorder="1" applyAlignment="1">
      <alignment horizontal="left" vertical="center" wrapText="1"/>
    </xf>
    <xf numFmtId="166" fontId="26" fillId="0" borderId="2" xfId="3" applyNumberFormat="1" applyFont="1" applyFill="1" applyBorder="1" applyAlignment="1" applyProtection="1">
      <alignment horizontal="center" vertical="center" wrapText="1"/>
    </xf>
    <xf numFmtId="0" fontId="27" fillId="0" borderId="2" xfId="1" applyFont="1" applyBorder="1" applyAlignment="1">
      <alignment horizontal="left" vertical="center" wrapText="1"/>
    </xf>
    <xf numFmtId="0" fontId="20" fillId="0" borderId="2" xfId="1" applyFont="1" applyBorder="1" applyAlignment="1" applyProtection="1">
      <alignment horizontal="left" vertical="center" wrapText="1"/>
      <protection locked="0"/>
    </xf>
    <xf numFmtId="0" fontId="1" fillId="0" borderId="2" xfId="1" quotePrefix="1" applyBorder="1" applyAlignment="1">
      <alignment horizontal="center" vertical="center" wrapText="1"/>
    </xf>
    <xf numFmtId="0" fontId="1" fillId="0" borderId="2" xfId="1" quotePrefix="1" applyBorder="1" applyAlignment="1" applyProtection="1">
      <alignment horizontal="center" vertical="center" wrapText="1"/>
      <protection locked="0"/>
    </xf>
    <xf numFmtId="0" fontId="20" fillId="0" borderId="2" xfId="1" quotePrefix="1" applyFont="1" applyBorder="1" applyAlignment="1" applyProtection="1">
      <alignment horizontal="center" vertical="center" wrapText="1"/>
      <protection locked="0"/>
    </xf>
    <xf numFmtId="0" fontId="20" fillId="0" borderId="2" xfId="1" quotePrefix="1" applyFont="1" applyBorder="1" applyAlignment="1" applyProtection="1">
      <alignment horizontal="left" vertical="center" wrapText="1"/>
      <protection locked="0"/>
    </xf>
    <xf numFmtId="14" fontId="1" fillId="0" borderId="2" xfId="1" applyNumberFormat="1" applyBorder="1" applyAlignment="1" applyProtection="1">
      <alignment horizontal="center" vertical="center"/>
      <protection locked="0"/>
    </xf>
    <xf numFmtId="0" fontId="20" fillId="0" borderId="5" xfId="1" applyFont="1" applyBorder="1" applyAlignment="1">
      <alignment horizontal="center" vertical="center" wrapText="1"/>
    </xf>
    <xf numFmtId="0" fontId="20" fillId="0" borderId="5" xfId="1" applyFont="1" applyBorder="1" applyAlignment="1">
      <alignment horizontal="left" vertical="center" wrapText="1"/>
    </xf>
    <xf numFmtId="0" fontId="1" fillId="0" borderId="5" xfId="1" applyBorder="1" applyAlignment="1">
      <alignment horizontal="center" vertical="center" wrapText="1"/>
    </xf>
    <xf numFmtId="0" fontId="1" fillId="0" borderId="5" xfId="1" applyBorder="1" applyAlignment="1">
      <alignment horizontal="left" vertical="center" wrapText="1"/>
    </xf>
    <xf numFmtId="0" fontId="20" fillId="0" borderId="6" xfId="1" applyFont="1" applyBorder="1" applyAlignment="1">
      <alignment horizontal="center" vertical="center" wrapText="1"/>
    </xf>
    <xf numFmtId="0" fontId="20" fillId="0" borderId="6" xfId="1" applyFont="1" applyBorder="1" applyAlignment="1">
      <alignment horizontal="left" vertical="center" wrapText="1"/>
    </xf>
    <xf numFmtId="0" fontId="1" fillId="0" borderId="6" xfId="1" applyBorder="1" applyAlignment="1">
      <alignment horizontal="left" vertical="center" wrapText="1"/>
    </xf>
    <xf numFmtId="0" fontId="1" fillId="0" borderId="7" xfId="1" applyBorder="1" applyAlignment="1">
      <alignment horizontal="center" vertical="center"/>
    </xf>
    <xf numFmtId="41" fontId="28" fillId="0" borderId="2" xfId="2" applyFont="1" applyBorder="1" applyAlignment="1" applyProtection="1">
      <alignment horizontal="right" vertical="center"/>
      <protection locked="0"/>
    </xf>
    <xf numFmtId="41" fontId="19" fillId="0" borderId="2" xfId="2" applyFont="1" applyFill="1" applyBorder="1" applyAlignment="1">
      <alignment horizontal="right" vertical="center"/>
    </xf>
    <xf numFmtId="41" fontId="25" fillId="0" borderId="2" xfId="2" applyFont="1" applyBorder="1" applyAlignment="1" applyProtection="1">
      <alignment horizontal="right" vertical="center"/>
      <protection locked="0"/>
    </xf>
    <xf numFmtId="41" fontId="19" fillId="0" borderId="2" xfId="2" applyFont="1" applyFill="1" applyBorder="1" applyAlignment="1" applyProtection="1">
      <alignment horizontal="right" vertical="center"/>
      <protection locked="0"/>
    </xf>
    <xf numFmtId="14" fontId="24" fillId="0" borderId="2" xfId="1" applyNumberFormat="1" applyFont="1" applyBorder="1" applyAlignment="1">
      <alignment horizontal="center" vertical="center"/>
    </xf>
    <xf numFmtId="41" fontId="20" fillId="16" borderId="2" xfId="2" applyFont="1" applyFill="1" applyBorder="1" applyAlignment="1" applyProtection="1">
      <alignment horizontal="right" vertical="center" wrapText="1"/>
      <protection locked="0"/>
    </xf>
    <xf numFmtId="41" fontId="20" fillId="0" borderId="2" xfId="2" applyFont="1" applyBorder="1" applyAlignment="1" applyProtection="1">
      <alignment horizontal="right" vertical="center" wrapText="1"/>
      <protection locked="0"/>
    </xf>
    <xf numFmtId="166" fontId="22" fillId="0" borderId="2" xfId="3" applyNumberFormat="1" applyFont="1" applyBorder="1" applyAlignment="1">
      <alignment horizontal="center" vertical="center" wrapText="1"/>
    </xf>
    <xf numFmtId="0" fontId="20" fillId="0" borderId="8" xfId="1" applyFont="1" applyBorder="1" applyAlignment="1">
      <alignment horizontal="center" vertical="center" wrapText="1"/>
    </xf>
    <xf numFmtId="0" fontId="20" fillId="0" borderId="8" xfId="1" applyFont="1" applyBorder="1" applyAlignment="1">
      <alignment horizontal="left" vertical="center" wrapText="1"/>
    </xf>
    <xf numFmtId="41" fontId="20" fillId="16" borderId="8" xfId="2" applyFont="1" applyFill="1" applyBorder="1" applyAlignment="1">
      <alignment horizontal="right" vertical="center"/>
    </xf>
    <xf numFmtId="166" fontId="22" fillId="0" borderId="2" xfId="3" quotePrefix="1" applyNumberFormat="1" applyFont="1" applyFill="1" applyBorder="1" applyAlignment="1" applyProtection="1">
      <alignment horizontal="center" vertical="center" wrapText="1"/>
    </xf>
    <xf numFmtId="41" fontId="0" fillId="0" borderId="0" xfId="2" applyFont="1" applyAlignment="1">
      <alignment horizontal="right" vertical="center"/>
    </xf>
    <xf numFmtId="0" fontId="26" fillId="0" borderId="2" xfId="1" quotePrefix="1" applyFont="1" applyBorder="1" applyAlignment="1">
      <alignment horizontal="center" vertical="center" wrapText="1"/>
    </xf>
    <xf numFmtId="41" fontId="0" fillId="0" borderId="2" xfId="2" applyFont="1" applyFill="1" applyBorder="1" applyAlignment="1">
      <alignment horizontal="right" vertical="center"/>
    </xf>
    <xf numFmtId="0" fontId="21" fillId="0" borderId="2" xfId="1" applyFont="1" applyBorder="1" applyAlignment="1">
      <alignment horizontal="center" vertical="center"/>
    </xf>
    <xf numFmtId="41" fontId="21" fillId="18" borderId="2" xfId="2" applyFont="1" applyFill="1" applyBorder="1" applyAlignment="1">
      <alignment vertical="center"/>
    </xf>
    <xf numFmtId="0" fontId="30" fillId="0" borderId="0" xfId="1" applyFont="1" applyAlignment="1">
      <alignment horizontal="center" vertical="center" wrapText="1"/>
    </xf>
    <xf numFmtId="0" fontId="30" fillId="21" borderId="2" xfId="1" applyFont="1" applyFill="1" applyBorder="1" applyAlignment="1">
      <alignment horizontal="center" vertical="center" wrapText="1"/>
    </xf>
    <xf numFmtId="17" fontId="30" fillId="21" borderId="2" xfId="1" applyNumberFormat="1" applyFont="1" applyFill="1" applyBorder="1" applyAlignment="1">
      <alignment horizontal="center" vertical="center" wrapText="1"/>
    </xf>
    <xf numFmtId="41" fontId="30" fillId="21" borderId="2" xfId="2" applyFont="1" applyFill="1" applyBorder="1" applyAlignment="1">
      <alignment horizontal="center" vertical="center" wrapText="1"/>
    </xf>
    <xf numFmtId="0" fontId="30" fillId="21" borderId="2" xfId="1" applyFont="1" applyFill="1" applyBorder="1" applyAlignment="1">
      <alignment horizontal="center" vertical="center"/>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xf>
    <xf numFmtId="0" fontId="7" fillId="22" borderId="2" xfId="0" applyFont="1" applyFill="1" applyBorder="1" applyAlignment="1">
      <alignment horizontal="center" vertical="center" wrapText="1"/>
    </xf>
    <xf numFmtId="0" fontId="5" fillId="23" borderId="2" xfId="0" applyFont="1" applyFill="1" applyBorder="1" applyAlignment="1">
      <alignment horizontal="left" vertical="center"/>
    </xf>
    <xf numFmtId="0" fontId="31" fillId="0" borderId="0" xfId="0" applyFont="1"/>
    <xf numFmtId="0" fontId="32" fillId="24" borderId="0" xfId="0" applyFont="1" applyFill="1"/>
    <xf numFmtId="0" fontId="5" fillId="23" borderId="2" xfId="0" applyFont="1" applyFill="1" applyBorder="1" applyAlignment="1">
      <alignment horizontal="left" vertical="center" wrapText="1"/>
    </xf>
    <xf numFmtId="0" fontId="5" fillId="23" borderId="2" xfId="0" applyFont="1" applyFill="1" applyBorder="1" applyAlignment="1">
      <alignment horizontal="left" vertical="top" wrapText="1"/>
    </xf>
    <xf numFmtId="0" fontId="32" fillId="25" borderId="0" xfId="0" applyFont="1" applyFill="1"/>
    <xf numFmtId="0" fontId="31" fillId="26" borderId="0" xfId="0" applyFont="1" applyFill="1"/>
    <xf numFmtId="0" fontId="5" fillId="9" borderId="2" xfId="0" quotePrefix="1" applyFont="1" applyFill="1" applyBorder="1" applyAlignment="1">
      <alignment horizontal="left" vertical="top" wrapText="1"/>
    </xf>
    <xf numFmtId="14" fontId="5" fillId="9" borderId="2" xfId="0" applyNumberFormat="1" applyFont="1" applyFill="1" applyBorder="1" applyAlignment="1">
      <alignment horizontal="left" vertical="top" wrapText="1"/>
    </xf>
    <xf numFmtId="15" fontId="5" fillId="9" borderId="2" xfId="0" applyNumberFormat="1" applyFont="1" applyFill="1" applyBorder="1" applyAlignment="1">
      <alignment horizontal="left" vertical="top" wrapText="1"/>
    </xf>
    <xf numFmtId="0" fontId="33" fillId="9" borderId="2" xfId="0" applyFont="1" applyFill="1" applyBorder="1" applyAlignment="1">
      <alignment horizontal="left" vertical="center" wrapText="1"/>
    </xf>
    <xf numFmtId="14" fontId="33" fillId="9" borderId="2" xfId="0" applyNumberFormat="1" applyFont="1" applyFill="1" applyBorder="1" applyAlignment="1">
      <alignment horizontal="left" vertical="top" wrapText="1"/>
    </xf>
    <xf numFmtId="0" fontId="23" fillId="0" borderId="2" xfId="1" applyFont="1" applyBorder="1" applyAlignment="1">
      <alignment horizontal="center" vertical="center" wrapText="1"/>
    </xf>
    <xf numFmtId="0" fontId="23" fillId="0" borderId="2" xfId="1" applyFont="1" applyBorder="1" applyAlignment="1" applyProtection="1">
      <alignment horizontal="center" vertical="center" wrapText="1"/>
      <protection locked="0"/>
    </xf>
    <xf numFmtId="0" fontId="23" fillId="0" borderId="2" xfId="1" applyFont="1" applyBorder="1" applyAlignment="1">
      <alignment horizontal="center" vertical="center"/>
    </xf>
    <xf numFmtId="14" fontId="23" fillId="0" borderId="2" xfId="1" applyNumberFormat="1" applyFont="1" applyBorder="1" applyAlignment="1">
      <alignment horizontal="center" vertical="center"/>
    </xf>
    <xf numFmtId="0" fontId="23" fillId="20" borderId="2" xfId="1" applyFont="1" applyFill="1" applyBorder="1" applyAlignment="1">
      <alignment horizontal="left" vertical="center"/>
    </xf>
    <xf numFmtId="0" fontId="23" fillId="20" borderId="2" xfId="1" applyFont="1" applyFill="1" applyBorder="1" applyAlignment="1">
      <alignment horizontal="left" vertical="center" wrapText="1"/>
    </xf>
    <xf numFmtId="0" fontId="23" fillId="20" borderId="2" xfId="1" applyFont="1" applyFill="1" applyBorder="1" applyAlignment="1">
      <alignment horizontal="center" vertical="center" wrapText="1"/>
    </xf>
    <xf numFmtId="41" fontId="23" fillId="0" borderId="2" xfId="2" applyFont="1" applyFill="1" applyBorder="1" applyAlignment="1">
      <alignment horizontal="right" vertical="center"/>
    </xf>
    <xf numFmtId="0" fontId="23" fillId="0" borderId="2" xfId="1" applyFont="1" applyBorder="1" applyAlignment="1">
      <alignment horizontal="left" vertical="center"/>
    </xf>
    <xf numFmtId="41" fontId="23" fillId="0" borderId="2" xfId="2" applyFont="1" applyFill="1" applyBorder="1" applyAlignment="1" applyProtection="1">
      <alignment horizontal="right" vertical="center" wrapText="1"/>
    </xf>
    <xf numFmtId="14" fontId="23" fillId="0" borderId="2" xfId="1" applyNumberFormat="1" applyFont="1" applyBorder="1" applyAlignment="1">
      <alignment horizontal="center" vertical="center" wrapText="1"/>
    </xf>
    <xf numFmtId="41" fontId="23" fillId="0" borderId="2" xfId="2" applyFont="1" applyFill="1" applyBorder="1" applyAlignment="1" applyProtection="1">
      <alignment horizontal="right" vertical="center" wrapText="1"/>
      <protection locked="0"/>
    </xf>
    <xf numFmtId="14" fontId="5" fillId="9" borderId="2" xfId="0" applyNumberFormat="1" applyFont="1" applyFill="1" applyBorder="1" applyAlignment="1">
      <alignment horizontal="left" vertical="center" wrapText="1"/>
    </xf>
    <xf numFmtId="0" fontId="33" fillId="9" borderId="2" xfId="0" applyFont="1" applyFill="1" applyBorder="1" applyAlignment="1">
      <alignment horizontal="left" vertical="top" wrapText="1"/>
    </xf>
    <xf numFmtId="14" fontId="15" fillId="7" borderId="2" xfId="0" applyNumberFormat="1" applyFont="1" applyFill="1" applyBorder="1" applyAlignment="1">
      <alignment horizontal="center" vertical="center" wrapText="1"/>
    </xf>
    <xf numFmtId="14" fontId="8" fillId="0" borderId="2" xfId="0" applyNumberFormat="1" applyFont="1" applyBorder="1" applyAlignment="1">
      <alignment horizontal="left" vertical="top" wrapText="1"/>
    </xf>
    <xf numFmtId="14" fontId="0" fillId="0" borderId="0" xfId="0" applyNumberFormat="1"/>
    <xf numFmtId="14" fontId="33" fillId="9" borderId="2" xfId="0" applyNumberFormat="1" applyFont="1" applyFill="1" applyBorder="1" applyAlignment="1">
      <alignment horizontal="left" vertical="center" wrapText="1"/>
    </xf>
    <xf numFmtId="0" fontId="15" fillId="7" borderId="2" xfId="0" applyFont="1" applyFill="1" applyBorder="1" applyAlignment="1">
      <alignment horizontal="center" vertical="center" wrapText="1"/>
    </xf>
    <xf numFmtId="0" fontId="5" fillId="5" borderId="2" xfId="0" applyFont="1" applyFill="1" applyBorder="1" applyAlignment="1">
      <alignment horizontal="left" vertical="center"/>
    </xf>
    <xf numFmtId="0" fontId="5" fillId="5" borderId="1" xfId="0" applyFont="1" applyFill="1" applyBorder="1" applyAlignment="1">
      <alignment horizontal="left" vertical="center"/>
    </xf>
    <xf numFmtId="0" fontId="7" fillId="15" borderId="2" xfId="0" applyFont="1" applyFill="1" applyBorder="1" applyAlignment="1">
      <alignment horizontal="left" vertical="center"/>
    </xf>
    <xf numFmtId="0" fontId="7" fillId="15" borderId="1" xfId="0" applyFont="1" applyFill="1" applyBorder="1" applyAlignment="1">
      <alignment horizontal="left" vertical="center"/>
    </xf>
    <xf numFmtId="0" fontId="14" fillId="14" borderId="2" xfId="0" applyFont="1" applyFill="1" applyBorder="1" applyAlignment="1">
      <alignment horizontal="left" vertical="center"/>
    </xf>
    <xf numFmtId="0" fontId="7" fillId="13" borderId="2" xfId="0" applyFont="1" applyFill="1" applyBorder="1" applyAlignment="1">
      <alignment horizontal="left" vertical="center"/>
    </xf>
    <xf numFmtId="0" fontId="7" fillId="13" borderId="1" xfId="0" applyFont="1" applyFill="1" applyBorder="1" applyAlignment="1">
      <alignment horizontal="left" vertical="center"/>
    </xf>
    <xf numFmtId="0" fontId="14" fillId="12" borderId="2" xfId="0" applyFont="1" applyFill="1" applyBorder="1" applyAlignment="1">
      <alignment horizontal="left" vertical="center"/>
    </xf>
    <xf numFmtId="0" fontId="8" fillId="0" borderId="2" xfId="0" applyFont="1" applyBorder="1" applyAlignment="1">
      <alignment horizontal="left" vertical="top" wrapText="1"/>
    </xf>
    <xf numFmtId="0" fontId="7" fillId="11" borderId="2" xfId="0" applyFont="1" applyFill="1" applyBorder="1" applyAlignment="1">
      <alignment horizontal="left" vertical="center"/>
    </xf>
    <xf numFmtId="0" fontId="8" fillId="0" borderId="1" xfId="0" applyFont="1" applyBorder="1" applyAlignment="1">
      <alignment horizontal="left" vertical="top" wrapText="1"/>
    </xf>
    <xf numFmtId="0" fontId="8" fillId="0" borderId="4" xfId="0" applyFont="1" applyBorder="1" applyAlignment="1">
      <alignment horizontal="left" vertical="top" wrapText="1"/>
    </xf>
    <xf numFmtId="0" fontId="10" fillId="2" borderId="1" xfId="0" applyFont="1" applyFill="1" applyBorder="1" applyAlignment="1">
      <alignment horizontal="center" vertical="center"/>
    </xf>
    <xf numFmtId="0" fontId="3" fillId="3" borderId="1" xfId="0" applyFont="1" applyFill="1" applyBorder="1" applyAlignment="1">
      <alignment horizontal="left" vertical="center"/>
    </xf>
    <xf numFmtId="0" fontId="34" fillId="3" borderId="1" xfId="0" applyFont="1" applyFill="1" applyBorder="1" applyAlignment="1">
      <alignment horizontal="right" vertical="center"/>
    </xf>
    <xf numFmtId="0" fontId="14" fillId="10" borderId="2" xfId="0" applyFont="1" applyFill="1" applyBorder="1" applyAlignment="1">
      <alignment horizontal="left" vertical="center"/>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7" fillId="4" borderId="2" xfId="0" applyFont="1" applyFill="1" applyBorder="1" applyAlignment="1">
      <alignment horizontal="center" vertical="center" wrapText="1"/>
    </xf>
    <xf numFmtId="0" fontId="6" fillId="12" borderId="1" xfId="0" applyFont="1" applyFill="1" applyBorder="1" applyAlignment="1">
      <alignment horizontal="left" vertical="center"/>
    </xf>
    <xf numFmtId="0" fontId="12" fillId="13" borderId="1" xfId="0" applyFont="1" applyFill="1" applyBorder="1" applyAlignment="1">
      <alignment horizontal="left" vertical="center"/>
    </xf>
    <xf numFmtId="0" fontId="13" fillId="0" borderId="0" xfId="0" applyFont="1" applyAlignment="1">
      <alignment horizontal="right" vertical="center"/>
    </xf>
    <xf numFmtId="0" fontId="6" fillId="14" borderId="1" xfId="0" applyFont="1" applyFill="1" applyBorder="1" applyAlignment="1">
      <alignment horizontal="left" vertical="center"/>
    </xf>
    <xf numFmtId="0" fontId="12" fillId="15" borderId="1" xfId="0" applyFont="1" applyFill="1" applyBorder="1" applyAlignment="1">
      <alignment horizontal="left" vertical="center"/>
    </xf>
    <xf numFmtId="0" fontId="5" fillId="9" borderId="2" xfId="0"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9" borderId="4" xfId="0" applyFont="1" applyFill="1" applyBorder="1" applyAlignment="1">
      <alignment horizontal="left" vertical="center" wrapText="1"/>
    </xf>
    <xf numFmtId="0" fontId="5" fillId="9" borderId="1" xfId="0" applyFont="1" applyFill="1" applyBorder="1" applyAlignment="1">
      <alignment horizontal="left" vertical="center"/>
    </xf>
    <xf numFmtId="0" fontId="11" fillId="9" borderId="1" xfId="0" applyFont="1" applyFill="1" applyBorder="1" applyAlignment="1">
      <alignment horizontal="center" vertical="center"/>
    </xf>
    <xf numFmtId="14" fontId="11" fillId="9" borderId="1" xfId="0" applyNumberFormat="1" applyFont="1" applyFill="1" applyBorder="1" applyAlignment="1">
      <alignment horizontal="center" vertical="center"/>
    </xf>
    <xf numFmtId="0" fontId="6" fillId="10" borderId="1" xfId="0" applyFont="1" applyFill="1" applyBorder="1" applyAlignment="1">
      <alignment horizontal="left" vertical="center"/>
    </xf>
    <xf numFmtId="0" fontId="12" fillId="11" borderId="1" xfId="0" applyFont="1" applyFill="1" applyBorder="1" applyAlignment="1">
      <alignment horizontal="left" vertical="center"/>
    </xf>
    <xf numFmtId="0" fontId="6" fillId="3" borderId="1" xfId="0" applyFont="1" applyFill="1" applyBorder="1" applyAlignment="1">
      <alignment horizontal="left" vertical="center"/>
    </xf>
    <xf numFmtId="0" fontId="3" fillId="3" borderId="1" xfId="0" applyFont="1" applyFill="1" applyBorder="1" applyAlignment="1">
      <alignment horizontal="right" vertical="center"/>
    </xf>
    <xf numFmtId="0" fontId="7" fillId="7" borderId="2" xfId="0" applyFont="1" applyFill="1" applyBorder="1" applyAlignment="1">
      <alignment horizontal="center" vertical="center"/>
    </xf>
    <xf numFmtId="0" fontId="5" fillId="9" borderId="2" xfId="0" applyFont="1" applyFill="1" applyBorder="1" applyAlignment="1">
      <alignment horizontal="left" vertical="top" wrapText="1"/>
    </xf>
    <xf numFmtId="0" fontId="9" fillId="2" borderId="0" xfId="0" applyFont="1" applyFill="1" applyAlignment="1">
      <alignment horizontal="center" vertical="center"/>
    </xf>
    <xf numFmtId="0" fontId="35" fillId="9" borderId="2" xfId="0" applyFont="1" applyFill="1" applyBorder="1" applyAlignment="1">
      <alignment horizontal="left" vertical="top" wrapText="1"/>
    </xf>
  </cellXfs>
  <cellStyles count="5">
    <cellStyle name="Comma [0] 2" xfId="2" xr:uid="{A6E2420B-181A-4A95-BC9D-9A475CB1C711}"/>
    <cellStyle name="Currency [0] 2" xfId="4" xr:uid="{9999FCEB-6862-4A42-9842-1520A2D1FB2B}"/>
    <cellStyle name="Milliers 2" xfId="3" xr:uid="{30C4F163-7838-4CD2-8C13-196FFFB3FF5D}"/>
    <cellStyle name="Normal" xfId="0" builtinId="0"/>
    <cellStyle name="Normal 2" xfId="1" xr:uid="{13CB01F4-DD60-4148-9571-1460DA91AC1D}"/>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E0000"/>
      <rgbColor rgb="FF008000"/>
      <rgbColor rgb="FF000080"/>
      <rgbColor rgb="FF548235"/>
      <rgbColor rgb="FF800080"/>
      <rgbColor rgb="FF008080"/>
      <rgbColor rgb="FFD9D9D9"/>
      <rgbColor rgb="FF7F7F7F"/>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E0E0"/>
      <rgbColor rgb="FF99CCFF"/>
      <rgbColor rgb="FFFF99CC"/>
      <rgbColor rgb="FFCC99FF"/>
      <rgbColor rgb="FFFCE4D6"/>
      <rgbColor rgb="FF2E75B6"/>
      <rgbColor rgb="FF33CCCC"/>
      <rgbColor rgb="FF99CC00"/>
      <rgbColor rgb="FFFFCC00"/>
      <rgbColor rgb="FFFF9900"/>
      <rgbColor rgb="FFC55A11"/>
      <rgbColor rgb="FF595959"/>
      <rgbColor rgb="FF969696"/>
      <rgbColor rgb="FF003366"/>
      <rgbColor rgb="FF339966"/>
      <rgbColor rgb="FF003300"/>
      <rgbColor rgb="FF44546A"/>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npspci-my.sharepoint.com/Users/m.ndri/Desktop/COP%2022/Docs%20envoy&#233;s%20&#224;%20Damas/FY23_PEPFAR_Budget_and_Projected_Expenditure_LHSLA%20NPSP%202307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pspci-my.sharepoint.com/Users/m.ndri/Desktop/COP%2022/Budget_and_Projected_Expenditure_NPSP_LHSPLA_COP21_FY22_2007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pspci-my.sharepoint.com/Users/YAPO%20ARNAUD/Documents/COMPTA_PERSO_2019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npspci-my.sharepoint.com/Users/ykouadiokouadio/Documents/COP22/FAST/Cote_d'Ivoire_COP22_FAST_V8_4-12-2022_21h_FINAL_Commodities_4-19-2022-9h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data and Error Checks"/>
      <sheetName val="Budget Template"/>
      <sheetName val="Validation Formulas"/>
      <sheetName val="config"/>
      <sheetName val="Lists"/>
    </sheetNames>
    <sheetDataSet>
      <sheetData sheetId="0"/>
      <sheetData sheetId="1"/>
      <sheetData sheetId="2"/>
      <sheetData sheetId="3"/>
      <sheetData sheetId="4">
        <row r="2">
          <cell r="J2" t="str">
            <v>C&amp;T: HIV Clinical Services-SD</v>
          </cell>
        </row>
        <row r="3">
          <cell r="J3" t="str">
            <v>C&amp;T: HIV Clinical Services-NSD</v>
          </cell>
        </row>
        <row r="4">
          <cell r="J4" t="str">
            <v>C&amp;T: HIV Laboratory Services-SD</v>
          </cell>
        </row>
        <row r="5">
          <cell r="J5" t="str">
            <v>C&amp;T: HIV Laboratory Services-NSD</v>
          </cell>
        </row>
        <row r="6">
          <cell r="J6" t="str">
            <v>C&amp;T: HIV Drugs-SD</v>
          </cell>
        </row>
        <row r="7">
          <cell r="J7" t="str">
            <v>C&amp;T: HIV Drugs-NSD</v>
          </cell>
        </row>
        <row r="8">
          <cell r="J8" t="str">
            <v>C&amp;T: Not Disaggregated-SD</v>
          </cell>
        </row>
        <row r="9">
          <cell r="J9" t="str">
            <v>C&amp;T: Not Disaggregated-NSD</v>
          </cell>
        </row>
        <row r="10">
          <cell r="J10" t="str">
            <v>HTS: Facility-based testing-SD</v>
          </cell>
        </row>
        <row r="11">
          <cell r="J11" t="str">
            <v>HTS: Facility-based testing-NSD</v>
          </cell>
        </row>
        <row r="12">
          <cell r="J12" t="str">
            <v>HTS: Community-based testing-SD</v>
          </cell>
        </row>
        <row r="13">
          <cell r="J13" t="str">
            <v>HTS: Community-based testing-NSD</v>
          </cell>
        </row>
        <row r="14">
          <cell r="J14" t="str">
            <v>HTS: Not Disaggregated-SD</v>
          </cell>
        </row>
        <row r="15">
          <cell r="J15" t="str">
            <v>HTS: Not Disaggregated-NSD</v>
          </cell>
        </row>
        <row r="16">
          <cell r="J16" t="str">
            <v>PREV: Comm. mobilization, behavior &amp; norms change-SD</v>
          </cell>
        </row>
        <row r="17">
          <cell r="J17" t="str">
            <v>PREV: Comm. mobilization, behavior &amp; norms change-NSD</v>
          </cell>
        </row>
        <row r="18">
          <cell r="J18" t="str">
            <v>PREV: VMMC-SD</v>
          </cell>
        </row>
        <row r="19">
          <cell r="J19" t="str">
            <v>PREV: VMMC-NSD</v>
          </cell>
        </row>
        <row r="20">
          <cell r="J20" t="str">
            <v>PREV: PrEP-SD</v>
          </cell>
        </row>
        <row r="21">
          <cell r="J21" t="str">
            <v>PREV: PrEP-NSD</v>
          </cell>
        </row>
        <row r="22">
          <cell r="J22" t="str">
            <v>PREV: Medication assisted treatment-SD</v>
          </cell>
        </row>
        <row r="23">
          <cell r="J23" t="str">
            <v>PREV: Medication assisted treatment-NSD</v>
          </cell>
        </row>
        <row r="24">
          <cell r="J24" t="str">
            <v>PREV: Condom &amp; Lubricant Programming-SD</v>
          </cell>
        </row>
        <row r="25">
          <cell r="J25" t="str">
            <v>PREV: Condom &amp; Lubricant Programming-NSD</v>
          </cell>
        </row>
        <row r="26">
          <cell r="J26" t="str">
            <v>PREV: Not Disaggregated-SD</v>
          </cell>
        </row>
        <row r="27">
          <cell r="J27" t="str">
            <v>PREV: Not Disaggregated-NSD</v>
          </cell>
        </row>
        <row r="28">
          <cell r="J28" t="str">
            <v>SE: Case Management-SD</v>
          </cell>
        </row>
        <row r="29">
          <cell r="J29" t="str">
            <v>SE: Case Management-NSD</v>
          </cell>
        </row>
        <row r="30">
          <cell r="J30" t="str">
            <v>SE: Economic strengthening-SD</v>
          </cell>
        </row>
        <row r="31">
          <cell r="J31" t="str">
            <v>SE: Economic strengthening-NSD</v>
          </cell>
        </row>
        <row r="32">
          <cell r="J32" t="str">
            <v>SE: Education assistance-SD</v>
          </cell>
        </row>
        <row r="33">
          <cell r="J33" t="str">
            <v>SE: Education assistance-NSD</v>
          </cell>
        </row>
        <row r="34">
          <cell r="J34" t="str">
            <v>SE: Psychosocial support-SD</v>
          </cell>
        </row>
        <row r="35">
          <cell r="J35" t="str">
            <v>SE: Psychosocial support-NSD</v>
          </cell>
        </row>
        <row r="36">
          <cell r="J36" t="str">
            <v>SE: Legal, human rights &amp; protection-SD</v>
          </cell>
        </row>
        <row r="37">
          <cell r="J37" t="str">
            <v>SE: Legal, human rights &amp; protection-NSD</v>
          </cell>
        </row>
        <row r="38">
          <cell r="J38" t="str">
            <v>SE: Not Disaggregated-SD</v>
          </cell>
        </row>
        <row r="39">
          <cell r="J39" t="str">
            <v>SE: Not Disaggregated-NSD</v>
          </cell>
        </row>
        <row r="40">
          <cell r="J40" t="str">
            <v>ASP: Procurement &amp; supply chain management-NSD</v>
          </cell>
        </row>
        <row r="41">
          <cell r="J41" t="str">
            <v>ASP: HMIS, surveillance, &amp; research-NSD</v>
          </cell>
        </row>
        <row r="42">
          <cell r="J42" t="str">
            <v>ASP: Human resources for health-NSD</v>
          </cell>
        </row>
        <row r="43">
          <cell r="J43" t="str">
            <v>ASP: Laboratory systems strengthening-NSD</v>
          </cell>
        </row>
        <row r="44">
          <cell r="J44" t="str">
            <v>ASP: Public financial management strengthening-NSD</v>
          </cell>
        </row>
        <row r="45">
          <cell r="J45" t="str">
            <v>ASP: Policy, planning, coordination &amp; management of disease control programs-NSD</v>
          </cell>
        </row>
        <row r="46">
          <cell r="J46" t="str">
            <v>ASP: Laws, regulations &amp; policy environment-NSD</v>
          </cell>
        </row>
        <row r="47">
          <cell r="J47" t="str">
            <v>ASP: Not Disaggregated-NSD</v>
          </cell>
        </row>
        <row r="48">
          <cell r="J48" t="str">
            <v>ASP: Injection safety-NSD</v>
          </cell>
        </row>
        <row r="49">
          <cell r="J49" t="str">
            <v>ASP: Blood supply safety-NSD</v>
          </cell>
        </row>
        <row r="50">
          <cell r="J50" t="str">
            <v>SE: Food and nutrition-SD</v>
          </cell>
        </row>
        <row r="51">
          <cell r="J51" t="str">
            <v>SE: Food and nutrition-NSD</v>
          </cell>
        </row>
        <row r="52">
          <cell r="J52" t="str">
            <v>PREV: Primary prevention of HIV and sexual violence-SD</v>
          </cell>
        </row>
        <row r="53">
          <cell r="J53" t="str">
            <v>PREV: Primary prevention of HIV and sexual violence-NSD</v>
          </cell>
        </row>
        <row r="54">
          <cell r="J54" t="str">
            <v>PM: IM Program Management-NSD</v>
          </cell>
        </row>
        <row r="55">
          <cell r="J55" t="str">
            <v>PM: IM Closeout costs-NSD</v>
          </cell>
        </row>
        <row r="57">
          <cell r="G57" t="str">
            <v>Non-Targeted Pop: Adults</v>
          </cell>
        </row>
        <row r="58">
          <cell r="G58" t="str">
            <v>Non-Targeted Pop: Young people &amp; adolescents</v>
          </cell>
        </row>
        <row r="59">
          <cell r="G59" t="str">
            <v>Non-Targeted Pop: Children</v>
          </cell>
        </row>
        <row r="60">
          <cell r="G60" t="str">
            <v>Non-Targeted Pop: Not disaggregated</v>
          </cell>
        </row>
        <row r="61">
          <cell r="G61" t="str">
            <v>Females: Adult women</v>
          </cell>
        </row>
        <row r="62">
          <cell r="G62" t="str">
            <v>Females: Young women &amp; adolescent females</v>
          </cell>
        </row>
        <row r="63">
          <cell r="G63" t="str">
            <v>Females: Girls</v>
          </cell>
        </row>
        <row r="64">
          <cell r="G64" t="str">
            <v>Females: Not disaggregated</v>
          </cell>
        </row>
        <row r="65">
          <cell r="G65" t="str">
            <v>Males: Adult men</v>
          </cell>
        </row>
        <row r="66">
          <cell r="G66" t="str">
            <v>Males: Young men &amp; adolescent males</v>
          </cell>
        </row>
        <row r="67">
          <cell r="G67" t="str">
            <v>Males: Boys</v>
          </cell>
        </row>
        <row r="68">
          <cell r="G68" t="str">
            <v>Males: Not disaggregated</v>
          </cell>
        </row>
        <row r="69">
          <cell r="G69" t="str">
            <v>Key Pops: Men having sex with men</v>
          </cell>
        </row>
        <row r="70">
          <cell r="G70" t="str">
            <v>Key Pops: Transgender</v>
          </cell>
        </row>
        <row r="71">
          <cell r="G71" t="str">
            <v>Key Pops: Sex workers</v>
          </cell>
        </row>
        <row r="72">
          <cell r="G72" t="str">
            <v>Key Pops: People who inject drugs</v>
          </cell>
        </row>
        <row r="73">
          <cell r="G73" t="str">
            <v>Key Pops: Not disaggregated</v>
          </cell>
        </row>
        <row r="74">
          <cell r="G74" t="str">
            <v>Key Pops: People in prisons</v>
          </cell>
        </row>
        <row r="75">
          <cell r="G75" t="str">
            <v>Pregnant &amp; Breastfeeding Women: Not disaggregated</v>
          </cell>
        </row>
        <row r="76">
          <cell r="G76" t="str">
            <v>Priority Pops: Military &amp; other uniformed services</v>
          </cell>
        </row>
        <row r="77">
          <cell r="G77" t="str">
            <v>Priority Pops: Mobile Pops</v>
          </cell>
        </row>
        <row r="78">
          <cell r="G78" t="str">
            <v>Priority Pops: Displaced persons</v>
          </cell>
        </row>
        <row r="79">
          <cell r="G79" t="str">
            <v>Priority Pops: Clients of sex workers</v>
          </cell>
        </row>
        <row r="80">
          <cell r="G80" t="str">
            <v>Priority Pops: Not disaggregated</v>
          </cell>
        </row>
        <row r="81">
          <cell r="G81" t="str">
            <v>OVC: Orphans &amp; vulnerable children</v>
          </cell>
        </row>
        <row r="82">
          <cell r="G82" t="str">
            <v>OVC: Care givers</v>
          </cell>
        </row>
        <row r="83">
          <cell r="G83" t="str">
            <v>OVC: Not disaggregated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data and Error Checks"/>
      <sheetName val="Budget Template (Francs CFA)"/>
      <sheetName val="Budget Template ($)"/>
      <sheetName val="Feuil2"/>
      <sheetName val="config"/>
      <sheetName val="Lists"/>
    </sheetNames>
    <sheetDataSet>
      <sheetData sheetId="0"/>
      <sheetData sheetId="1"/>
      <sheetData sheetId="2"/>
      <sheetData sheetId="3"/>
      <sheetData sheetId="4"/>
      <sheetData sheetId="5">
        <row r="2">
          <cell r="J2" t="str">
            <v>C&amp;T: HIV Clinical Services-SD</v>
          </cell>
          <cell r="M2" t="str">
            <v>Angola</v>
          </cell>
          <cell r="O2" t="str">
            <v>Census</v>
          </cell>
        </row>
        <row r="3">
          <cell r="M3" t="str">
            <v>Asia Region</v>
          </cell>
          <cell r="O3" t="str">
            <v>DOD</v>
          </cell>
        </row>
        <row r="4">
          <cell r="M4" t="str">
            <v>Botswana</v>
          </cell>
          <cell r="O4" t="str">
            <v>HHS/CDC</v>
          </cell>
        </row>
        <row r="5">
          <cell r="M5" t="str">
            <v>Burundi</v>
          </cell>
          <cell r="O5" t="str">
            <v>HHS/FDA</v>
          </cell>
        </row>
        <row r="6">
          <cell r="M6" t="str">
            <v>Cameroon</v>
          </cell>
          <cell r="O6" t="str">
            <v>HHS/HRSA</v>
          </cell>
        </row>
        <row r="7">
          <cell r="M7" t="str">
            <v>Cote d'Ivoire</v>
          </cell>
          <cell r="O7" t="str">
            <v>HHS/NIH</v>
          </cell>
        </row>
        <row r="8">
          <cell r="M8" t="str">
            <v>Democratic Republic of the Congo</v>
          </cell>
          <cell r="O8" t="str">
            <v>HHS/OGA</v>
          </cell>
        </row>
        <row r="9">
          <cell r="M9" t="str">
            <v>Dominican Republic</v>
          </cell>
          <cell r="O9" t="str">
            <v>HHS/SAMHSA</v>
          </cell>
        </row>
        <row r="10">
          <cell r="M10" t="str">
            <v>Eswatini</v>
          </cell>
          <cell r="O10" t="str">
            <v>PC</v>
          </cell>
        </row>
        <row r="11">
          <cell r="M11" t="str">
            <v>Ethiopia</v>
          </cell>
          <cell r="O11" t="str">
            <v>State/AF</v>
          </cell>
        </row>
        <row r="12">
          <cell r="M12" t="str">
            <v>Haiti</v>
          </cell>
          <cell r="O12" t="str">
            <v>State/EAP</v>
          </cell>
        </row>
        <row r="13">
          <cell r="M13" t="str">
            <v>Kenya</v>
          </cell>
          <cell r="O13" t="str">
            <v>State/EUR</v>
          </cell>
        </row>
        <row r="14">
          <cell r="M14" t="str">
            <v>Lesotho</v>
          </cell>
          <cell r="O14" t="str">
            <v>State/PRM</v>
          </cell>
        </row>
        <row r="15">
          <cell r="M15" t="str">
            <v>Malawi</v>
          </cell>
          <cell r="O15" t="str">
            <v>State/SGAC</v>
          </cell>
        </row>
        <row r="16">
          <cell r="M16" t="str">
            <v>Mozambique</v>
          </cell>
          <cell r="O16" t="str">
            <v>State/WHA</v>
          </cell>
        </row>
        <row r="17">
          <cell r="M17" t="str">
            <v>Namibia</v>
          </cell>
          <cell r="O17" t="str">
            <v>USAID</v>
          </cell>
        </row>
        <row r="18">
          <cell r="M18" t="str">
            <v>Nigeria</v>
          </cell>
          <cell r="O18" t="str">
            <v>USAID/WCF</v>
          </cell>
        </row>
        <row r="19">
          <cell r="M19" t="str">
            <v>Rwanda</v>
          </cell>
        </row>
        <row r="20">
          <cell r="M20" t="str">
            <v>South Africa</v>
          </cell>
        </row>
        <row r="21">
          <cell r="M21" t="str">
            <v>South Sudan</v>
          </cell>
        </row>
        <row r="22">
          <cell r="M22" t="str">
            <v>Tanzania</v>
          </cell>
        </row>
        <row r="23">
          <cell r="M23" t="str">
            <v>Uganda</v>
          </cell>
        </row>
        <row r="24">
          <cell r="M24" t="str">
            <v>Ukraine</v>
          </cell>
        </row>
        <row r="25">
          <cell r="M25" t="str">
            <v>Vietnam</v>
          </cell>
        </row>
        <row r="26">
          <cell r="M26" t="str">
            <v>West Africa Region</v>
          </cell>
        </row>
        <row r="27">
          <cell r="M27" t="str">
            <v>Western Hemisphere Region</v>
          </cell>
        </row>
        <row r="28">
          <cell r="M28" t="str">
            <v>Zambia</v>
          </cell>
        </row>
        <row r="29">
          <cell r="M29" t="str">
            <v>Zimbabwe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TES"/>
      <sheetName val="CONFIG"/>
      <sheetName val="OBJECTIFS QUINQUENAUX"/>
      <sheetName val="JOURNAL"/>
      <sheetName val="BRLRD "/>
      <sheetName val="JRNAL"/>
      <sheetName val="BRLRD PREV"/>
      <sheetName val="BUDGET PREV"/>
      <sheetName val="Evaluation charges trimestre 1"/>
      <sheetName val="Evaluation charges trimestre 2"/>
    </sheetNames>
    <sheetDataSet>
      <sheetData sheetId="0"/>
      <sheetData sheetId="1">
        <row r="1">
          <cell r="A1" t="str">
            <v>Crédit</v>
          </cell>
          <cell r="B1" t="str">
            <v>PRODUITS[INTITULES]</v>
          </cell>
          <cell r="C1" t="str">
            <v>TIERS[INTITULES]</v>
          </cell>
          <cell r="D1" t="str">
            <v>TRESORERIE[INTITULES]</v>
          </cell>
        </row>
        <row r="2">
          <cell r="A2" t="str">
            <v>Débit</v>
          </cell>
          <cell r="B2" t="str">
            <v>TIERS[INTITULES]</v>
          </cell>
          <cell r="C2" t="str">
            <v>TRESORERIE[INTITULES]</v>
          </cell>
          <cell r="D2" t="str">
            <v>Charges[INTITULES]</v>
          </cell>
        </row>
      </sheetData>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Financial Structured Dataset-H"/>
      <sheetName val="Mechs List-R"/>
      <sheetName val="Lists-H"/>
      <sheetName val="Controls-R"/>
      <sheetName val="FAST Import-H"/>
      <sheetName val="Mechanism-E"/>
      <sheetName val="Initiative Counts-H"/>
      <sheetName val="Intervention-E"/>
      <sheetName val="Initiative-E"/>
      <sheetName val="Commodities-P"/>
      <sheetName val="Commodities Lists-H"/>
      <sheetName val="Commodities-E"/>
      <sheetName val="CODB-E"/>
      <sheetName val="COVID Import-H"/>
      <sheetName val="COVID-E"/>
      <sheetName val="COVID-H"/>
      <sheetName val="Budgets-H"/>
      <sheetName val="Commodities-H"/>
      <sheetName val="Standard COP Matrix-R"/>
      <sheetName val="Controls vs Budgets-R"/>
      <sheetName val="Initiatives-H"/>
      <sheetName val="Review-R"/>
      <sheetName val="PAW-H"/>
      <sheetName val="FAST-P"/>
      <sheetName val="CODB-P"/>
    </sheetNames>
    <sheetDataSet>
      <sheetData sheetId="0">
        <row r="10">
          <cell r="B10">
            <v>20</v>
          </cell>
        </row>
        <row r="11">
          <cell r="B11">
            <v>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ffichage1" id="{58C012B0-73D2-431F-823A-53B2DBDB44F8}"/>
</namedSheetView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6869140-8C3B-4854-B43B-C0B983B20934}">
  <we:reference id="WA200009404" version="1.0.0.8" store="Omex" storeType="OMEX"/>
  <we:alternateReferences>
    <we:reference id="WA200009404" version="1.0.0.8" store="WA200009404" storeType="OMEX"/>
  </we:alternateReferences>
  <we:properties>
    <we:property name="claude.fileId" value="&quot;238768bc-44b6-40e8-875a-03545b2a918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B11"/>
  <sheetViews>
    <sheetView showGridLines="0" zoomScaleNormal="100" workbookViewId="0">
      <selection activeCell="B10" sqref="B10"/>
    </sheetView>
  </sheetViews>
  <sheetFormatPr baseColWidth="10" defaultColWidth="8.5703125" defaultRowHeight="15" x14ac:dyDescent="0.25"/>
  <cols>
    <col min="1" max="1" width="22" style="10" customWidth="1"/>
    <col min="2" max="2" width="93.42578125" style="10" customWidth="1"/>
  </cols>
  <sheetData>
    <row r="1" spans="1:2" ht="33.75" customHeight="1" x14ac:dyDescent="0.25">
      <c r="A1" s="224" t="s">
        <v>0</v>
      </c>
      <c r="B1" s="225"/>
    </row>
    <row r="3" spans="1:2" ht="30" customHeight="1" x14ac:dyDescent="0.25">
      <c r="A3" s="14" t="s">
        <v>1</v>
      </c>
      <c r="B3" s="12" t="s">
        <v>2</v>
      </c>
    </row>
    <row r="4" spans="1:2" ht="30" customHeight="1" x14ac:dyDescent="0.25">
      <c r="A4" s="14" t="s">
        <v>3</v>
      </c>
      <c r="B4" s="13" t="s">
        <v>4</v>
      </c>
    </row>
    <row r="5" spans="1:2" ht="30" customHeight="1" x14ac:dyDescent="0.25">
      <c r="A5" s="14" t="s">
        <v>5</v>
      </c>
      <c r="B5" s="12" t="s">
        <v>6</v>
      </c>
    </row>
    <row r="6" spans="1:2" ht="79.5" customHeight="1" x14ac:dyDescent="0.25">
      <c r="A6" s="14" t="s">
        <v>7</v>
      </c>
      <c r="B6" s="13" t="s">
        <v>8</v>
      </c>
    </row>
    <row r="7" spans="1:2" ht="30" customHeight="1" x14ac:dyDescent="0.25">
      <c r="A7" s="14" t="s">
        <v>9</v>
      </c>
      <c r="B7" s="12" t="s">
        <v>10</v>
      </c>
    </row>
    <row r="8" spans="1:2" ht="79.5" customHeight="1" x14ac:dyDescent="0.25">
      <c r="A8" s="14" t="s">
        <v>11</v>
      </c>
      <c r="B8" s="13" t="s">
        <v>12</v>
      </c>
    </row>
    <row r="9" spans="1:2" ht="30" customHeight="1" x14ac:dyDescent="0.25">
      <c r="A9" s="14" t="s">
        <v>13</v>
      </c>
      <c r="B9" s="12" t="s">
        <v>14</v>
      </c>
    </row>
    <row r="10" spans="1:2" ht="30" customHeight="1" x14ac:dyDescent="0.25">
      <c r="A10" s="14" t="s">
        <v>15</v>
      </c>
      <c r="B10" s="13" t="s">
        <v>16</v>
      </c>
    </row>
    <row r="11" spans="1:2" ht="63.75" customHeight="1" x14ac:dyDescent="0.25">
      <c r="A11" s="14" t="s">
        <v>17</v>
      </c>
      <c r="B11" s="12" t="s">
        <v>18</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pageSetUpPr fitToPage="1"/>
  </sheetPr>
  <dimension ref="A1:H44"/>
  <sheetViews>
    <sheetView showGridLines="0" topLeftCell="B1" zoomScale="121" zoomScaleNormal="100" workbookViewId="0">
      <pane ySplit="3" topLeftCell="A28" activePane="bottomLeft" state="frozen"/>
      <selection pane="bottomLeft" activeCell="F11" sqref="F11"/>
    </sheetView>
  </sheetViews>
  <sheetFormatPr baseColWidth="10" defaultColWidth="8.5703125" defaultRowHeight="15" x14ac:dyDescent="0.25"/>
  <cols>
    <col min="1" max="1" width="5.42578125" style="10" customWidth="1"/>
    <col min="2" max="2" width="19" style="10" customWidth="1"/>
    <col min="3" max="3" width="30" style="10" customWidth="1"/>
    <col min="4" max="4" width="43.5703125" style="10" customWidth="1"/>
    <col min="5" max="5" width="21.28515625" style="10" customWidth="1"/>
    <col min="6" max="6" width="14" style="10" customWidth="1"/>
    <col min="7" max="7" width="20" style="10" customWidth="1"/>
    <col min="8" max="8" width="38" style="10" customWidth="1"/>
    <col min="9" max="16384" width="8.5703125" style="10"/>
  </cols>
  <sheetData>
    <row r="1" spans="1:8" ht="30" customHeight="1" x14ac:dyDescent="0.25">
      <c r="A1" s="220" t="s">
        <v>19</v>
      </c>
      <c r="B1" s="220"/>
      <c r="C1" s="220"/>
      <c r="D1" s="220"/>
      <c r="E1" s="220"/>
      <c r="F1" s="220"/>
      <c r="G1" s="220"/>
      <c r="H1" s="220"/>
    </row>
    <row r="2" spans="1:8" ht="21.75" customHeight="1" x14ac:dyDescent="0.25">
      <c r="A2" s="240" t="s">
        <v>20</v>
      </c>
      <c r="B2" s="240"/>
      <c r="C2" s="240"/>
      <c r="D2" s="240"/>
      <c r="E2" s="240"/>
      <c r="F2" s="241"/>
      <c r="G2" s="241"/>
      <c r="H2" s="241"/>
    </row>
    <row r="4" spans="1:8" ht="19.5" customHeight="1" x14ac:dyDescent="0.25">
      <c r="A4" s="240" t="s">
        <v>21</v>
      </c>
      <c r="B4" s="240"/>
      <c r="C4" s="240"/>
      <c r="D4" s="240"/>
      <c r="E4" s="240"/>
      <c r="F4" s="240"/>
      <c r="G4" s="240"/>
      <c r="H4" s="240"/>
    </row>
    <row r="5" spans="1:8" ht="18" customHeight="1" x14ac:dyDescent="0.25">
      <c r="A5" s="4" t="s">
        <v>22</v>
      </c>
      <c r="B5" s="4"/>
      <c r="C5" s="242" t="s">
        <v>23</v>
      </c>
      <c r="D5" s="242"/>
      <c r="E5" s="242" t="s">
        <v>24</v>
      </c>
      <c r="F5" s="242"/>
      <c r="G5" s="242" t="s">
        <v>25</v>
      </c>
      <c r="H5" s="242"/>
    </row>
    <row r="6" spans="1:8" ht="21.75" customHeight="1" x14ac:dyDescent="0.25">
      <c r="A6" s="5" t="s">
        <v>26</v>
      </c>
      <c r="B6" s="174"/>
      <c r="C6" s="235"/>
      <c r="D6" s="235"/>
      <c r="E6" s="236" t="str">
        <f>SE!E6</f>
        <v>Du 25/05 au 29/05/2026</v>
      </c>
      <c r="F6" s="236"/>
      <c r="G6" s="237">
        <f>SE!G6</f>
        <v>46174</v>
      </c>
      <c r="H6" s="236"/>
    </row>
    <row r="8" spans="1:8" ht="21.75" customHeight="1" x14ac:dyDescent="0.25">
      <c r="A8" s="238" t="s">
        <v>27</v>
      </c>
      <c r="B8" s="238"/>
      <c r="C8" s="238"/>
      <c r="D8" s="238"/>
      <c r="E8" s="238"/>
      <c r="F8" s="238"/>
      <c r="G8" s="238"/>
      <c r="H8" s="238"/>
    </row>
    <row r="9" spans="1:8" ht="15.75" customHeight="1" x14ac:dyDescent="0.25">
      <c r="A9" s="239" t="s">
        <v>28</v>
      </c>
      <c r="B9" s="239"/>
      <c r="C9" s="239"/>
      <c r="D9" s="239"/>
      <c r="E9" s="239"/>
      <c r="F9" s="239"/>
      <c r="G9" s="239"/>
      <c r="H9" s="239"/>
    </row>
    <row r="10" spans="1:8" ht="30" customHeight="1" x14ac:dyDescent="0.25">
      <c r="A10" s="2" t="s">
        <v>29</v>
      </c>
      <c r="B10" s="176" t="s">
        <v>30</v>
      </c>
      <c r="C10" s="176" t="s">
        <v>31</v>
      </c>
      <c r="D10" s="2" t="s">
        <v>32</v>
      </c>
      <c r="E10" s="2" t="s">
        <v>33</v>
      </c>
      <c r="F10" s="2" t="s">
        <v>34</v>
      </c>
      <c r="G10" s="226" t="s">
        <v>35</v>
      </c>
      <c r="H10" s="226"/>
    </row>
    <row r="11" spans="1:8" ht="120" customHeight="1" x14ac:dyDescent="0.25">
      <c r="A11" s="6">
        <v>1</v>
      </c>
      <c r="B11" s="177" t="s">
        <v>36</v>
      </c>
      <c r="C11" s="11" t="s">
        <v>37</v>
      </c>
      <c r="D11" s="11" t="s">
        <v>38</v>
      </c>
      <c r="E11" s="11" t="s">
        <v>39</v>
      </c>
      <c r="F11" s="201">
        <v>46168</v>
      </c>
      <c r="G11" s="232" t="s">
        <v>40</v>
      </c>
      <c r="H11" s="232"/>
    </row>
    <row r="12" spans="1:8" ht="51" x14ac:dyDescent="0.25">
      <c r="A12" s="6">
        <v>2</v>
      </c>
      <c r="B12" s="177" t="s">
        <v>36</v>
      </c>
      <c r="C12" s="11" t="s">
        <v>41</v>
      </c>
      <c r="D12" s="187" t="s">
        <v>42</v>
      </c>
      <c r="E12" s="187" t="s">
        <v>43</v>
      </c>
      <c r="F12" s="11" t="s">
        <v>44</v>
      </c>
      <c r="G12" s="232" t="s">
        <v>45</v>
      </c>
      <c r="H12" s="232"/>
    </row>
    <row r="13" spans="1:8" ht="96" customHeight="1" x14ac:dyDescent="0.25">
      <c r="A13" s="6">
        <v>3</v>
      </c>
      <c r="B13" s="177" t="s">
        <v>36</v>
      </c>
      <c r="C13" s="11" t="s">
        <v>46</v>
      </c>
      <c r="D13" s="11" t="s">
        <v>47</v>
      </c>
      <c r="E13" s="11" t="s">
        <v>48</v>
      </c>
      <c r="F13" s="11" t="s">
        <v>44</v>
      </c>
      <c r="G13" s="232" t="s">
        <v>49</v>
      </c>
      <c r="H13" s="232"/>
    </row>
    <row r="14" spans="1:8" ht="66.599999999999994" customHeight="1" x14ac:dyDescent="0.25">
      <c r="A14" s="6">
        <v>4</v>
      </c>
      <c r="B14" s="177" t="s">
        <v>50</v>
      </c>
      <c r="C14" s="11" t="s">
        <v>51</v>
      </c>
      <c r="D14" s="11" t="s">
        <v>52</v>
      </c>
      <c r="E14" s="11"/>
      <c r="F14" s="11"/>
      <c r="G14" s="233"/>
      <c r="H14" s="234"/>
    </row>
    <row r="15" spans="1:8" ht="45" customHeight="1" x14ac:dyDescent="0.25">
      <c r="A15" s="6">
        <v>5</v>
      </c>
      <c r="B15" s="177" t="s">
        <v>53</v>
      </c>
      <c r="C15" s="11" t="s">
        <v>54</v>
      </c>
      <c r="D15" s="11" t="s">
        <v>55</v>
      </c>
      <c r="E15" s="11" t="s">
        <v>56</v>
      </c>
      <c r="F15" s="11" t="s">
        <v>57</v>
      </c>
      <c r="G15" s="232" t="s">
        <v>58</v>
      </c>
      <c r="H15" s="232"/>
    </row>
    <row r="16" spans="1:8" ht="51.6" customHeight="1" x14ac:dyDescent="0.25">
      <c r="A16" s="6">
        <v>6</v>
      </c>
      <c r="B16" s="177" t="s">
        <v>36</v>
      </c>
      <c r="C16" s="11" t="s">
        <v>46</v>
      </c>
      <c r="D16" s="11" t="s">
        <v>59</v>
      </c>
      <c r="E16" s="11" t="s">
        <v>60</v>
      </c>
      <c r="F16" s="11" t="s">
        <v>61</v>
      </c>
      <c r="G16" s="232" t="s">
        <v>62</v>
      </c>
      <c r="H16" s="232"/>
    </row>
    <row r="17" spans="1:8" ht="38.25" x14ac:dyDescent="0.25">
      <c r="A17" s="6">
        <v>7</v>
      </c>
      <c r="B17" s="177" t="s">
        <v>63</v>
      </c>
      <c r="C17" s="11" t="s">
        <v>64</v>
      </c>
      <c r="D17" s="11" t="s">
        <v>65</v>
      </c>
      <c r="E17" s="11" t="s">
        <v>66</v>
      </c>
      <c r="F17" s="11" t="s">
        <v>67</v>
      </c>
      <c r="G17" s="232" t="s">
        <v>68</v>
      </c>
      <c r="H17" s="232"/>
    </row>
    <row r="18" spans="1:8" ht="36" customHeight="1" x14ac:dyDescent="0.25">
      <c r="A18" s="6">
        <v>8</v>
      </c>
      <c r="B18" s="177"/>
      <c r="C18" s="11"/>
      <c r="D18" s="11"/>
      <c r="E18" s="11"/>
      <c r="F18" s="11"/>
      <c r="G18" s="232"/>
      <c r="H18" s="232"/>
    </row>
    <row r="19" spans="1:8" ht="12.75" customHeight="1" x14ac:dyDescent="0.25">
      <c r="A19" s="229" t="s">
        <v>69</v>
      </c>
      <c r="B19" s="229"/>
      <c r="C19" s="229"/>
      <c r="D19" s="229"/>
      <c r="E19" s="229"/>
      <c r="F19" s="229"/>
      <c r="G19" s="229"/>
      <c r="H19" s="229"/>
    </row>
    <row r="21" spans="1:8" ht="21.75" customHeight="1" x14ac:dyDescent="0.25">
      <c r="A21" s="227" t="s">
        <v>70</v>
      </c>
      <c r="B21" s="227"/>
      <c r="C21" s="227"/>
      <c r="D21" s="227"/>
      <c r="E21" s="227"/>
      <c r="F21" s="227"/>
      <c r="G21" s="227"/>
      <c r="H21" s="227"/>
    </row>
    <row r="22" spans="1:8" ht="15.75" customHeight="1" x14ac:dyDescent="0.25">
      <c r="A22" s="228" t="s">
        <v>71</v>
      </c>
      <c r="B22" s="228"/>
      <c r="C22" s="228"/>
      <c r="D22" s="228"/>
      <c r="E22" s="228"/>
      <c r="F22" s="228"/>
      <c r="G22" s="228"/>
      <c r="H22" s="228"/>
    </row>
    <row r="23" spans="1:8" ht="30" customHeight="1" x14ac:dyDescent="0.25">
      <c r="A23" s="2" t="s">
        <v>29</v>
      </c>
      <c r="B23" s="176" t="s">
        <v>30</v>
      </c>
      <c r="C23" s="176" t="s">
        <v>31</v>
      </c>
      <c r="D23" s="2" t="s">
        <v>32</v>
      </c>
      <c r="E23" s="2" t="s">
        <v>33</v>
      </c>
      <c r="F23" s="2" t="s">
        <v>72</v>
      </c>
      <c r="G23" s="2" t="s">
        <v>73</v>
      </c>
      <c r="H23" s="2" t="s">
        <v>74</v>
      </c>
    </row>
    <row r="24" spans="1:8" ht="104.45" customHeight="1" x14ac:dyDescent="0.25">
      <c r="A24" s="6">
        <v>1</v>
      </c>
      <c r="B24" s="177" t="s">
        <v>36</v>
      </c>
      <c r="C24" s="11" t="s">
        <v>46</v>
      </c>
      <c r="D24" s="11" t="s">
        <v>75</v>
      </c>
      <c r="E24" s="11" t="s">
        <v>76</v>
      </c>
      <c r="F24" s="11" t="s">
        <v>77</v>
      </c>
      <c r="G24" s="11" t="s">
        <v>78</v>
      </c>
      <c r="H24" s="11" t="s">
        <v>79</v>
      </c>
    </row>
    <row r="25" spans="1:8" ht="104.45" customHeight="1" x14ac:dyDescent="0.25">
      <c r="A25" s="6"/>
      <c r="B25" s="177" t="s">
        <v>36</v>
      </c>
      <c r="C25" s="11" t="s">
        <v>41</v>
      </c>
      <c r="D25" s="11" t="s">
        <v>80</v>
      </c>
      <c r="E25" s="11" t="s">
        <v>81</v>
      </c>
      <c r="F25" s="11" t="s">
        <v>82</v>
      </c>
      <c r="G25" s="11" t="s">
        <v>78</v>
      </c>
      <c r="H25" s="11" t="s">
        <v>83</v>
      </c>
    </row>
    <row r="26" spans="1:8" ht="119.1" customHeight="1" x14ac:dyDescent="0.25">
      <c r="A26" s="6">
        <v>2</v>
      </c>
      <c r="B26" s="177" t="s">
        <v>36</v>
      </c>
      <c r="C26" s="11" t="s">
        <v>37</v>
      </c>
      <c r="D26" s="11" t="s">
        <v>38</v>
      </c>
      <c r="E26" s="11" t="s">
        <v>84</v>
      </c>
      <c r="F26" s="201" t="s">
        <v>85</v>
      </c>
      <c r="G26" s="11" t="s">
        <v>78</v>
      </c>
      <c r="H26" s="11" t="s">
        <v>86</v>
      </c>
    </row>
    <row r="27" spans="1:8" ht="153" x14ac:dyDescent="0.25">
      <c r="A27" s="6">
        <v>3</v>
      </c>
      <c r="B27" s="177" t="s">
        <v>36</v>
      </c>
      <c r="C27" s="11" t="s">
        <v>37</v>
      </c>
      <c r="D27" s="11" t="s">
        <v>87</v>
      </c>
      <c r="E27" s="11" t="s">
        <v>88</v>
      </c>
      <c r="F27" s="206" t="s">
        <v>89</v>
      </c>
      <c r="G27" s="11" t="s">
        <v>78</v>
      </c>
      <c r="H27" s="11" t="s">
        <v>90</v>
      </c>
    </row>
    <row r="28" spans="1:8" ht="61.5" customHeight="1" x14ac:dyDescent="0.25">
      <c r="A28" s="6">
        <v>4</v>
      </c>
      <c r="B28" s="177" t="s">
        <v>36</v>
      </c>
      <c r="C28" s="11" t="s">
        <v>41</v>
      </c>
      <c r="D28" s="11" t="s">
        <v>91</v>
      </c>
      <c r="E28" s="11" t="s">
        <v>92</v>
      </c>
      <c r="F28" s="11" t="s">
        <v>93</v>
      </c>
      <c r="G28" s="11" t="s">
        <v>78</v>
      </c>
      <c r="H28" s="11" t="s">
        <v>94</v>
      </c>
    </row>
    <row r="29" spans="1:8" ht="55.5" customHeight="1" x14ac:dyDescent="0.25">
      <c r="A29" s="6">
        <v>5</v>
      </c>
      <c r="B29" s="177" t="s">
        <v>36</v>
      </c>
      <c r="C29" s="11" t="s">
        <v>54</v>
      </c>
      <c r="D29" s="11" t="s">
        <v>95</v>
      </c>
      <c r="E29" s="11" t="s">
        <v>96</v>
      </c>
      <c r="F29" s="11" t="s">
        <v>97</v>
      </c>
      <c r="G29" s="11" t="s">
        <v>78</v>
      </c>
      <c r="H29" s="11" t="s">
        <v>98</v>
      </c>
    </row>
    <row r="30" spans="1:8" ht="66.599999999999994" customHeight="1" x14ac:dyDescent="0.25">
      <c r="A30" s="6">
        <v>6</v>
      </c>
      <c r="B30" s="177" t="s">
        <v>50</v>
      </c>
      <c r="C30" s="11" t="s">
        <v>99</v>
      </c>
      <c r="D30" s="11" t="s">
        <v>100</v>
      </c>
      <c r="E30" s="11" t="s">
        <v>101</v>
      </c>
      <c r="F30" s="11" t="s">
        <v>102</v>
      </c>
      <c r="G30" s="11" t="s">
        <v>78</v>
      </c>
      <c r="H30" s="11" t="s">
        <v>103</v>
      </c>
    </row>
    <row r="31" spans="1:8" ht="66" customHeight="1" x14ac:dyDescent="0.25">
      <c r="A31" s="6">
        <v>7</v>
      </c>
      <c r="B31" s="177" t="s">
        <v>53</v>
      </c>
      <c r="C31" s="11" t="s">
        <v>104</v>
      </c>
      <c r="D31" s="11" t="s">
        <v>105</v>
      </c>
      <c r="E31" s="11" t="s">
        <v>106</v>
      </c>
      <c r="F31" s="11" t="s">
        <v>107</v>
      </c>
      <c r="G31" s="11" t="s">
        <v>78</v>
      </c>
      <c r="H31" s="11" t="s">
        <v>108</v>
      </c>
    </row>
    <row r="32" spans="1:8" ht="63.75" x14ac:dyDescent="0.25">
      <c r="A32" s="6">
        <v>8</v>
      </c>
      <c r="B32" s="177" t="s">
        <v>63</v>
      </c>
      <c r="C32" s="11" t="s">
        <v>64</v>
      </c>
      <c r="D32" s="11" t="s">
        <v>65</v>
      </c>
      <c r="E32" s="11" t="s">
        <v>66</v>
      </c>
      <c r="F32" s="11" t="s">
        <v>109</v>
      </c>
      <c r="G32" s="11" t="s">
        <v>78</v>
      </c>
      <c r="H32" s="11" t="s">
        <v>110</v>
      </c>
    </row>
    <row r="33" spans="1:8" ht="51" x14ac:dyDescent="0.25">
      <c r="A33" s="6">
        <v>9</v>
      </c>
      <c r="B33" s="177" t="s">
        <v>53</v>
      </c>
      <c r="C33" s="11" t="s">
        <v>54</v>
      </c>
      <c r="D33" s="11" t="s">
        <v>111</v>
      </c>
      <c r="E33" s="11" t="s">
        <v>101</v>
      </c>
      <c r="F33" s="11" t="s">
        <v>112</v>
      </c>
      <c r="G33" s="11" t="s">
        <v>78</v>
      </c>
      <c r="H33" s="11" t="s">
        <v>113</v>
      </c>
    </row>
    <row r="34" spans="1:8" ht="31.5" customHeight="1" x14ac:dyDescent="0.25">
      <c r="A34" s="6">
        <v>10</v>
      </c>
      <c r="B34" s="177" t="s">
        <v>36</v>
      </c>
      <c r="C34" s="11" t="s">
        <v>114</v>
      </c>
      <c r="D34" s="11" t="s">
        <v>115</v>
      </c>
      <c r="E34" s="11" t="s">
        <v>116</v>
      </c>
      <c r="F34" s="11" t="s">
        <v>117</v>
      </c>
      <c r="G34" s="11" t="s">
        <v>78</v>
      </c>
      <c r="H34" s="11" t="s">
        <v>118</v>
      </c>
    </row>
    <row r="35" spans="1:8" ht="12.75" customHeight="1" x14ac:dyDescent="0.25">
      <c r="A35" s="229" t="s">
        <v>119</v>
      </c>
      <c r="B35" s="229"/>
      <c r="C35" s="229"/>
      <c r="D35" s="229"/>
      <c r="E35" s="229"/>
      <c r="F35" s="229"/>
      <c r="G35" s="229"/>
      <c r="H35" s="229"/>
    </row>
    <row r="37" spans="1:8" ht="21.75" customHeight="1" x14ac:dyDescent="0.25">
      <c r="A37" s="230" t="s">
        <v>120</v>
      </c>
      <c r="B37" s="230"/>
      <c r="C37" s="230"/>
      <c r="D37" s="230"/>
      <c r="E37" s="230"/>
      <c r="F37" s="230"/>
      <c r="G37" s="230"/>
      <c r="H37" s="230"/>
    </row>
    <row r="38" spans="1:8" ht="15.75" customHeight="1" x14ac:dyDescent="0.25">
      <c r="A38" s="231" t="s">
        <v>121</v>
      </c>
      <c r="B38" s="231"/>
      <c r="C38" s="231"/>
      <c r="D38" s="231"/>
      <c r="E38" s="231"/>
      <c r="F38" s="231"/>
      <c r="G38" s="231"/>
      <c r="H38" s="231"/>
    </row>
    <row r="39" spans="1:8" ht="30" customHeight="1" x14ac:dyDescent="0.25">
      <c r="A39" s="2" t="s">
        <v>29</v>
      </c>
      <c r="B39" s="176" t="s">
        <v>122</v>
      </c>
      <c r="C39" s="2" t="s">
        <v>123</v>
      </c>
      <c r="D39" s="2" t="s">
        <v>124</v>
      </c>
      <c r="E39" s="2" t="s">
        <v>125</v>
      </c>
      <c r="F39" s="2" t="s">
        <v>126</v>
      </c>
      <c r="G39" s="226"/>
      <c r="H39" s="226"/>
    </row>
    <row r="40" spans="1:8" ht="31.5" customHeight="1" x14ac:dyDescent="0.25">
      <c r="A40" s="6">
        <v>1</v>
      </c>
      <c r="B40" s="177"/>
      <c r="C40" s="180"/>
      <c r="D40" s="11"/>
      <c r="E40" s="11"/>
      <c r="F40" s="11"/>
      <c r="G40" s="209"/>
      <c r="H40" s="209"/>
    </row>
    <row r="41" spans="1:8" ht="31.5" customHeight="1" x14ac:dyDescent="0.25">
      <c r="A41" s="6">
        <v>2</v>
      </c>
      <c r="B41" s="177"/>
      <c r="C41" s="180"/>
      <c r="D41" s="11"/>
      <c r="E41" s="11"/>
      <c r="F41" s="11"/>
      <c r="G41" s="209"/>
      <c r="H41" s="209"/>
    </row>
    <row r="42" spans="1:8" ht="31.5" customHeight="1" x14ac:dyDescent="0.25">
      <c r="A42" s="6">
        <v>3</v>
      </c>
      <c r="B42" s="177"/>
      <c r="C42" s="180"/>
      <c r="D42" s="11"/>
      <c r="E42" s="11"/>
      <c r="F42" s="11"/>
      <c r="G42" s="209"/>
      <c r="H42" s="209"/>
    </row>
    <row r="43" spans="1:8" ht="31.5" customHeight="1" x14ac:dyDescent="0.25">
      <c r="A43" s="6">
        <v>4</v>
      </c>
      <c r="B43" s="177"/>
      <c r="C43" s="180"/>
      <c r="D43" s="11"/>
      <c r="E43" s="11"/>
      <c r="F43" s="11"/>
      <c r="G43" s="209"/>
      <c r="H43" s="209"/>
    </row>
    <row r="44" spans="1:8" ht="31.5" customHeight="1" x14ac:dyDescent="0.25">
      <c r="A44" s="6">
        <v>5</v>
      </c>
      <c r="B44" s="177"/>
      <c r="C44" s="180"/>
      <c r="D44" s="11"/>
      <c r="E44" s="11"/>
      <c r="F44" s="11"/>
      <c r="G44" s="209"/>
      <c r="H44" s="209"/>
    </row>
  </sheetData>
  <mergeCells count="33">
    <mergeCell ref="A1:H1"/>
    <mergeCell ref="A2:E2"/>
    <mergeCell ref="F2:H2"/>
    <mergeCell ref="A4:H4"/>
    <mergeCell ref="C5:D5"/>
    <mergeCell ref="E5:F5"/>
    <mergeCell ref="G5:H5"/>
    <mergeCell ref="C6:D6"/>
    <mergeCell ref="E6:F6"/>
    <mergeCell ref="G6:H6"/>
    <mergeCell ref="A8:H8"/>
    <mergeCell ref="A9:H9"/>
    <mergeCell ref="G10:H10"/>
    <mergeCell ref="G11:H11"/>
    <mergeCell ref="G12:H12"/>
    <mergeCell ref="G13:H13"/>
    <mergeCell ref="G14:H14"/>
    <mergeCell ref="G15:H15"/>
    <mergeCell ref="G16:H16"/>
    <mergeCell ref="G17:H17"/>
    <mergeCell ref="G18:H18"/>
    <mergeCell ref="A19:H19"/>
    <mergeCell ref="A21:H21"/>
    <mergeCell ref="A22:H22"/>
    <mergeCell ref="A35:H35"/>
    <mergeCell ref="A37:H37"/>
    <mergeCell ref="A38:H38"/>
    <mergeCell ref="G44:H44"/>
    <mergeCell ref="G39:H39"/>
    <mergeCell ref="G40:H40"/>
    <mergeCell ref="G41:H41"/>
    <mergeCell ref="G42:H42"/>
    <mergeCell ref="G43:H43"/>
  </mergeCells>
  <dataValidations count="6">
    <dataValidation type="list" allowBlank="1" sqref="G24:G34" xr:uid="{00000000-0002-0000-0100-000000000000}">
      <formula1>"✅ OUI,❌ NON"</formula1>
      <formula2>0</formula2>
    </dataValidation>
    <dataValidation type="list" allowBlank="1" sqref="E40:E44" xr:uid="{00000000-0002-0000-0100-000001000000}">
      <formula1>"🔴 Critique,🟠 Élevé,🟡 Modéré,🟢 Faible"</formula1>
      <formula2>0</formula2>
    </dataValidation>
    <dataValidation type="list" allowBlank="1" showInputMessage="1" promptTitle="N° Activité" prompt="Sélectionnez le numéro de l'activité AWP FY26" sqref="B11:B18 B24:B34" xr:uid="{B877D31C-E67A-49B2-93C7-5324E731C353}">
      <formula1>AWP_ACTIVITES</formula1>
    </dataValidation>
    <dataValidation type="list" allowBlank="1" showInputMessage="1" promptTitle="Libellé de la tâche" prompt="Sélectionnez d'abord le N° Activité en colonne B, puis choisissez la tâche" sqref="C24:C34 C11:C18" xr:uid="{D567DFC1-11F3-4289-A0CF-9C6B5B2AFC68}">
      <formula1>INDIRECT("AWP_T_"&amp;SUBSTITUTE(SUBSTITUTE(B11,".","_"),"-","_"))</formula1>
    </dataValidation>
    <dataValidation type="list" allowBlank="1" showInputMessage="1" promptTitle="Thème" prompt="Sélectionnez le thème du point de vigilance" sqref="B40:B44" xr:uid="{89B7ECA9-E9E6-46C8-B831-302330F1DD1F}">
      <formula1>AWP_THEMES</formula1>
    </dataValidation>
    <dataValidation type="list" allowBlank="1" showInputMessage="1" promptTitle="Catégorie" prompt="Sélectionnez d'abord le Thème en colonne B, puis choisissez la catégorie" sqref="C40:C44" xr:uid="{92C28225-F2C1-454F-855D-DE1DBF075839}">
      <formula1>INDIRECT(VLOOKUP(B40,AWP_THEME_MAP,2,0))</formula1>
    </dataValidation>
  </dataValidation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H43"/>
  <sheetViews>
    <sheetView zoomScaleNormal="100" workbookViewId="0">
      <pane ySplit="3" topLeftCell="A20" activePane="bottomLeft" state="frozen"/>
      <selection pane="bottomLeft" activeCell="F25" sqref="F25"/>
    </sheetView>
  </sheetViews>
  <sheetFormatPr baseColWidth="10" defaultColWidth="8.5703125" defaultRowHeight="15" x14ac:dyDescent="0.25"/>
  <cols>
    <col min="1" max="1" width="5.5703125" customWidth="1"/>
    <col min="2" max="2" width="28.5703125" customWidth="1"/>
    <col min="3" max="3" width="30" customWidth="1"/>
    <col min="4" max="4" width="32" customWidth="1"/>
    <col min="5" max="5" width="13" customWidth="1"/>
    <col min="6" max="6" width="14" customWidth="1"/>
    <col min="7" max="7" width="20" customWidth="1"/>
    <col min="8" max="8" width="30" customWidth="1"/>
  </cols>
  <sheetData>
    <row r="1" spans="1:8" ht="30" customHeight="1" x14ac:dyDescent="0.25">
      <c r="A1" s="220" t="s">
        <v>19</v>
      </c>
      <c r="B1" s="220"/>
      <c r="C1" s="220"/>
      <c r="D1" s="220"/>
      <c r="E1" s="220"/>
      <c r="F1" s="220"/>
      <c r="G1" s="220"/>
      <c r="H1" s="220"/>
    </row>
    <row r="2" spans="1:8" ht="21.75" customHeight="1" x14ac:dyDescent="0.25">
      <c r="A2" s="240" t="s">
        <v>127</v>
      </c>
      <c r="B2" s="240"/>
      <c r="C2" s="240"/>
      <c r="D2" s="240"/>
      <c r="E2" s="240"/>
      <c r="F2" s="241"/>
      <c r="G2" s="241"/>
      <c r="H2" s="241"/>
    </row>
    <row r="4" spans="1:8" ht="19.5" customHeight="1" x14ac:dyDescent="0.25">
      <c r="A4" s="240" t="s">
        <v>21</v>
      </c>
      <c r="B4" s="240"/>
      <c r="C4" s="240"/>
      <c r="D4" s="240"/>
      <c r="E4" s="240"/>
      <c r="F4" s="240"/>
      <c r="G4" s="240"/>
      <c r="H4" s="240"/>
    </row>
    <row r="5" spans="1:8" ht="18" customHeight="1" x14ac:dyDescent="0.25">
      <c r="A5" s="3" t="s">
        <v>22</v>
      </c>
      <c r="B5" s="3"/>
      <c r="C5" s="242" t="s">
        <v>23</v>
      </c>
      <c r="D5" s="242"/>
      <c r="E5" s="242" t="s">
        <v>24</v>
      </c>
      <c r="F5" s="242"/>
      <c r="G5" s="242" t="s">
        <v>25</v>
      </c>
      <c r="H5" s="242"/>
    </row>
    <row r="6" spans="1:8" ht="21.75" customHeight="1" x14ac:dyDescent="0.25">
      <c r="A6" s="5" t="s">
        <v>128</v>
      </c>
      <c r="B6" s="174"/>
      <c r="C6" s="235"/>
      <c r="D6" s="235"/>
      <c r="E6" s="236" t="str">
        <f>SE!E6</f>
        <v>Du 25/05 au 29/05/2026</v>
      </c>
      <c r="F6" s="236"/>
      <c r="G6" s="237">
        <f>SE!G6</f>
        <v>46174</v>
      </c>
      <c r="H6" s="236"/>
    </row>
    <row r="8" spans="1:8" ht="21.75" customHeight="1" x14ac:dyDescent="0.25">
      <c r="A8" s="238" t="s">
        <v>27</v>
      </c>
      <c r="B8" s="238"/>
      <c r="C8" s="238"/>
      <c r="D8" s="238"/>
      <c r="E8" s="238"/>
      <c r="F8" s="238"/>
      <c r="G8" s="238"/>
      <c r="H8" s="238"/>
    </row>
    <row r="9" spans="1:8" ht="15.75" customHeight="1" x14ac:dyDescent="0.25">
      <c r="A9" s="239" t="s">
        <v>28</v>
      </c>
      <c r="B9" s="239"/>
      <c r="C9" s="239"/>
      <c r="D9" s="239"/>
      <c r="E9" s="239"/>
      <c r="F9" s="239"/>
      <c r="G9" s="239"/>
      <c r="H9" s="239"/>
    </row>
    <row r="10" spans="1:8" ht="30" customHeight="1" x14ac:dyDescent="0.25">
      <c r="A10" s="2" t="s">
        <v>29</v>
      </c>
      <c r="B10" s="176" t="s">
        <v>30</v>
      </c>
      <c r="C10" s="176" t="s">
        <v>31</v>
      </c>
      <c r="D10" s="2" t="s">
        <v>32</v>
      </c>
      <c r="E10" s="2" t="s">
        <v>33</v>
      </c>
      <c r="F10" s="2" t="s">
        <v>34</v>
      </c>
      <c r="G10" s="226" t="s">
        <v>35</v>
      </c>
      <c r="H10" s="226"/>
    </row>
    <row r="11" spans="1:8" ht="114.75" customHeight="1" x14ac:dyDescent="0.25">
      <c r="A11" s="6">
        <v>1</v>
      </c>
      <c r="B11" s="177" t="s">
        <v>129</v>
      </c>
      <c r="C11" s="1" t="s">
        <v>130</v>
      </c>
      <c r="D11" s="1" t="s">
        <v>131</v>
      </c>
      <c r="E11" s="1" t="s">
        <v>132</v>
      </c>
      <c r="F11" s="1" t="s">
        <v>133</v>
      </c>
      <c r="G11" s="243" t="s">
        <v>134</v>
      </c>
      <c r="H11" s="243"/>
    </row>
    <row r="12" spans="1:8" ht="90.75" customHeight="1" x14ac:dyDescent="0.25">
      <c r="A12" s="6">
        <v>2</v>
      </c>
      <c r="B12" s="177" t="s">
        <v>135</v>
      </c>
      <c r="C12" s="1" t="s">
        <v>136</v>
      </c>
      <c r="D12" s="1" t="s">
        <v>137</v>
      </c>
      <c r="E12" s="1" t="s">
        <v>138</v>
      </c>
      <c r="F12" s="186" t="s">
        <v>139</v>
      </c>
      <c r="G12" s="243" t="s">
        <v>140</v>
      </c>
      <c r="H12" s="243"/>
    </row>
    <row r="13" spans="1:8" ht="36" customHeight="1" x14ac:dyDescent="0.25">
      <c r="A13" s="6">
        <v>3</v>
      </c>
      <c r="B13" s="177"/>
      <c r="C13" s="1"/>
      <c r="D13" s="1"/>
      <c r="E13" s="1"/>
      <c r="F13" s="1"/>
      <c r="G13" s="243"/>
      <c r="H13" s="243"/>
    </row>
    <row r="14" spans="1:8" ht="36" customHeight="1" x14ac:dyDescent="0.25">
      <c r="A14" s="6">
        <v>4</v>
      </c>
      <c r="B14" s="177"/>
      <c r="C14" s="1"/>
      <c r="D14" s="1"/>
      <c r="E14" s="1"/>
      <c r="F14" s="1"/>
      <c r="G14" s="243"/>
      <c r="H14" s="243"/>
    </row>
    <row r="15" spans="1:8" ht="36" customHeight="1" x14ac:dyDescent="0.25">
      <c r="A15" s="6">
        <v>5</v>
      </c>
      <c r="B15" s="177"/>
      <c r="C15" s="1"/>
      <c r="D15" s="1"/>
      <c r="E15" s="1"/>
      <c r="F15" s="1"/>
      <c r="G15" s="243"/>
      <c r="H15" s="243"/>
    </row>
    <row r="16" spans="1:8" ht="36" customHeight="1" x14ac:dyDescent="0.25">
      <c r="A16" s="6">
        <v>6</v>
      </c>
      <c r="B16" s="177"/>
      <c r="C16" s="1"/>
      <c r="D16" s="1"/>
      <c r="E16" s="1"/>
      <c r="F16" s="1"/>
      <c r="G16" s="243"/>
      <c r="H16" s="243"/>
    </row>
    <row r="17" spans="1:8" ht="36" customHeight="1" x14ac:dyDescent="0.25">
      <c r="A17" s="6">
        <v>7</v>
      </c>
      <c r="B17" s="177"/>
      <c r="C17" s="1"/>
      <c r="D17" s="1"/>
      <c r="E17" s="1"/>
      <c r="F17" s="1"/>
      <c r="G17" s="243"/>
      <c r="H17" s="243"/>
    </row>
    <row r="18" spans="1:8" ht="36" customHeight="1" x14ac:dyDescent="0.25">
      <c r="A18" s="6">
        <v>8</v>
      </c>
      <c r="B18" s="177"/>
      <c r="C18" s="1"/>
      <c r="D18" s="1"/>
      <c r="E18" s="1"/>
      <c r="F18" s="1"/>
      <c r="G18" s="243"/>
      <c r="H18" s="243"/>
    </row>
    <row r="19" spans="1:8" ht="12.75" customHeight="1" x14ac:dyDescent="0.25">
      <c r="A19" s="229" t="s">
        <v>69</v>
      </c>
      <c r="B19" s="229"/>
      <c r="C19" s="229"/>
      <c r="D19" s="229"/>
      <c r="E19" s="229"/>
      <c r="F19" s="229"/>
      <c r="G19" s="229"/>
      <c r="H19" s="229"/>
    </row>
    <row r="21" spans="1:8" ht="21.75" customHeight="1" x14ac:dyDescent="0.25">
      <c r="A21" s="227" t="s">
        <v>70</v>
      </c>
      <c r="B21" s="227"/>
      <c r="C21" s="227"/>
      <c r="D21" s="227"/>
      <c r="E21" s="227"/>
      <c r="F21" s="227"/>
      <c r="G21" s="227"/>
      <c r="H21" s="227"/>
    </row>
    <row r="22" spans="1:8" ht="15.75" customHeight="1" x14ac:dyDescent="0.25">
      <c r="A22" s="228" t="s">
        <v>71</v>
      </c>
      <c r="B22" s="228"/>
      <c r="C22" s="228"/>
      <c r="D22" s="228"/>
      <c r="E22" s="228"/>
      <c r="F22" s="228"/>
      <c r="G22" s="228"/>
      <c r="H22" s="228"/>
    </row>
    <row r="23" spans="1:8" ht="30" customHeight="1" x14ac:dyDescent="0.25">
      <c r="A23" s="2" t="s">
        <v>29</v>
      </c>
      <c r="B23" s="176" t="s">
        <v>30</v>
      </c>
      <c r="C23" s="176" t="s">
        <v>31</v>
      </c>
      <c r="D23" s="2" t="s">
        <v>32</v>
      </c>
      <c r="E23" s="2" t="s">
        <v>33</v>
      </c>
      <c r="F23" s="2" t="s">
        <v>72</v>
      </c>
      <c r="G23" s="2" t="s">
        <v>73</v>
      </c>
      <c r="H23" s="2" t="s">
        <v>74</v>
      </c>
    </row>
    <row r="24" spans="1:8" ht="31.5" customHeight="1" x14ac:dyDescent="0.25">
      <c r="A24" s="6">
        <v>1</v>
      </c>
      <c r="B24" s="177"/>
      <c r="C24" s="1"/>
      <c r="D24" s="1"/>
      <c r="E24" s="1"/>
      <c r="F24" s="1"/>
      <c r="G24" s="1"/>
      <c r="H24" s="1"/>
    </row>
    <row r="25" spans="1:8" ht="31.5" customHeight="1" x14ac:dyDescent="0.25">
      <c r="A25" s="6">
        <v>2</v>
      </c>
      <c r="B25" s="177"/>
      <c r="C25" s="1"/>
      <c r="D25" s="1"/>
      <c r="E25" s="1"/>
      <c r="F25" s="1"/>
      <c r="G25" s="1"/>
      <c r="H25" s="1"/>
    </row>
    <row r="26" spans="1:8" ht="31.5" customHeight="1" x14ac:dyDescent="0.25">
      <c r="A26" s="6">
        <v>3</v>
      </c>
      <c r="B26" s="177"/>
      <c r="C26" s="1"/>
      <c r="D26" s="1"/>
      <c r="E26" s="1"/>
      <c r="F26" s="1"/>
      <c r="G26" s="1"/>
      <c r="H26" s="1"/>
    </row>
    <row r="27" spans="1:8" ht="31.5" customHeight="1" x14ac:dyDescent="0.25">
      <c r="A27" s="6">
        <v>4</v>
      </c>
      <c r="B27" s="177"/>
      <c r="C27" s="1"/>
      <c r="D27" s="1"/>
      <c r="E27" s="1"/>
      <c r="F27" s="1"/>
      <c r="G27" s="1"/>
      <c r="H27" s="1"/>
    </row>
    <row r="28" spans="1:8" ht="31.5" customHeight="1" x14ac:dyDescent="0.25">
      <c r="A28" s="6">
        <v>5</v>
      </c>
      <c r="B28" s="177"/>
      <c r="C28" s="1"/>
      <c r="D28" s="1"/>
      <c r="E28" s="1"/>
      <c r="F28" s="1"/>
      <c r="G28" s="1"/>
      <c r="H28" s="1"/>
    </row>
    <row r="29" spans="1:8" ht="31.5" customHeight="1" x14ac:dyDescent="0.25">
      <c r="A29" s="6">
        <v>6</v>
      </c>
      <c r="B29" s="177"/>
      <c r="C29" s="1"/>
      <c r="D29" s="1"/>
      <c r="E29" s="1"/>
      <c r="F29" s="1"/>
      <c r="G29" s="1"/>
      <c r="H29" s="1"/>
    </row>
    <row r="30" spans="1:8" ht="31.5" customHeight="1" x14ac:dyDescent="0.25">
      <c r="A30" s="6">
        <v>7</v>
      </c>
      <c r="B30" s="177"/>
      <c r="C30" s="1"/>
      <c r="D30" s="1"/>
      <c r="E30" s="1"/>
      <c r="F30" s="1"/>
      <c r="G30" s="1"/>
      <c r="H30" s="1"/>
    </row>
    <row r="31" spans="1:8" ht="31.5" customHeight="1" x14ac:dyDescent="0.25">
      <c r="A31" s="6">
        <v>8</v>
      </c>
      <c r="B31" s="177"/>
      <c r="C31" s="1"/>
      <c r="D31" s="1"/>
      <c r="E31" s="1"/>
      <c r="F31" s="1"/>
      <c r="G31" s="1"/>
      <c r="H31" s="1"/>
    </row>
    <row r="32" spans="1:8" ht="31.5" customHeight="1" x14ac:dyDescent="0.25">
      <c r="A32" s="6">
        <v>9</v>
      </c>
      <c r="B32" s="177"/>
      <c r="C32" s="1"/>
      <c r="D32" s="1"/>
      <c r="E32" s="1"/>
      <c r="F32" s="1"/>
      <c r="G32" s="1"/>
      <c r="H32" s="1"/>
    </row>
    <row r="33" spans="1:8" ht="31.5" customHeight="1" x14ac:dyDescent="0.25">
      <c r="A33" s="6">
        <v>10</v>
      </c>
      <c r="B33" s="177"/>
      <c r="C33" s="1"/>
      <c r="D33" s="1"/>
      <c r="E33" s="1"/>
      <c r="F33" s="1"/>
      <c r="G33" s="1"/>
      <c r="H33" s="1"/>
    </row>
    <row r="34" spans="1:8" ht="12.75" customHeight="1" x14ac:dyDescent="0.25">
      <c r="A34" s="229" t="s">
        <v>119</v>
      </c>
      <c r="B34" s="229"/>
      <c r="C34" s="229"/>
      <c r="D34" s="229"/>
      <c r="E34" s="229"/>
      <c r="F34" s="229"/>
      <c r="G34" s="229"/>
      <c r="H34" s="229"/>
    </row>
    <row r="36" spans="1:8" ht="21.75" customHeight="1" x14ac:dyDescent="0.25">
      <c r="A36" s="230" t="s">
        <v>120</v>
      </c>
      <c r="B36" s="230"/>
      <c r="C36" s="230"/>
      <c r="D36" s="230"/>
      <c r="E36" s="230"/>
      <c r="F36" s="230"/>
      <c r="G36" s="230"/>
      <c r="H36" s="230"/>
    </row>
    <row r="37" spans="1:8" ht="15.75" customHeight="1" x14ac:dyDescent="0.25">
      <c r="A37" s="231" t="s">
        <v>121</v>
      </c>
      <c r="B37" s="231"/>
      <c r="C37" s="231"/>
      <c r="D37" s="231"/>
      <c r="E37" s="231"/>
      <c r="F37" s="231"/>
      <c r="G37" s="231"/>
      <c r="H37" s="231"/>
    </row>
    <row r="38" spans="1:8" ht="30" customHeight="1" x14ac:dyDescent="0.25">
      <c r="A38" s="2" t="s">
        <v>29</v>
      </c>
      <c r="B38" s="176" t="s">
        <v>122</v>
      </c>
      <c r="C38" s="2" t="s">
        <v>123</v>
      </c>
      <c r="D38" s="2" t="s">
        <v>124</v>
      </c>
      <c r="E38" s="2" t="s">
        <v>125</v>
      </c>
      <c r="F38" s="2" t="s">
        <v>126</v>
      </c>
      <c r="G38" s="226"/>
      <c r="H38" s="226"/>
    </row>
    <row r="39" spans="1:8" ht="31.5" customHeight="1" x14ac:dyDescent="0.25">
      <c r="A39" s="6">
        <v>1</v>
      </c>
      <c r="B39" s="177"/>
      <c r="C39" s="181"/>
      <c r="D39" s="1"/>
      <c r="E39" s="1"/>
      <c r="F39" s="1"/>
      <c r="G39" s="209"/>
      <c r="H39" s="209"/>
    </row>
    <row r="40" spans="1:8" ht="31.5" customHeight="1" x14ac:dyDescent="0.25">
      <c r="A40" s="6">
        <v>2</v>
      </c>
      <c r="B40" s="177"/>
      <c r="C40" s="181"/>
      <c r="D40" s="1"/>
      <c r="E40" s="1"/>
      <c r="F40" s="1"/>
      <c r="G40" s="209"/>
      <c r="H40" s="209"/>
    </row>
    <row r="41" spans="1:8" ht="31.5" customHeight="1" x14ac:dyDescent="0.25">
      <c r="A41" s="6">
        <v>3</v>
      </c>
      <c r="B41" s="177"/>
      <c r="C41" s="181"/>
      <c r="D41" s="1"/>
      <c r="E41" s="1"/>
      <c r="F41" s="1"/>
      <c r="G41" s="209"/>
      <c r="H41" s="209"/>
    </row>
    <row r="42" spans="1:8" ht="31.5" customHeight="1" x14ac:dyDescent="0.25">
      <c r="A42" s="6">
        <v>4</v>
      </c>
      <c r="B42" s="177"/>
      <c r="C42" s="181"/>
      <c r="D42" s="1"/>
      <c r="E42" s="1"/>
      <c r="F42" s="1"/>
      <c r="G42" s="209"/>
      <c r="H42" s="209"/>
    </row>
    <row r="43" spans="1:8" ht="31.5" customHeight="1" x14ac:dyDescent="0.25">
      <c r="A43" s="6">
        <v>5</v>
      </c>
      <c r="B43" s="177"/>
      <c r="C43" s="181"/>
      <c r="D43" s="1"/>
      <c r="E43" s="1"/>
      <c r="F43" s="1"/>
      <c r="G43" s="209"/>
      <c r="H43" s="209"/>
    </row>
  </sheetData>
  <mergeCells count="33">
    <mergeCell ref="A1:H1"/>
    <mergeCell ref="A2:E2"/>
    <mergeCell ref="F2:H2"/>
    <mergeCell ref="A4:H4"/>
    <mergeCell ref="C5:D5"/>
    <mergeCell ref="E5:F5"/>
    <mergeCell ref="G5:H5"/>
    <mergeCell ref="C6:D6"/>
    <mergeCell ref="E6:F6"/>
    <mergeCell ref="G6:H6"/>
    <mergeCell ref="A8:H8"/>
    <mergeCell ref="A9:H9"/>
    <mergeCell ref="G10:H10"/>
    <mergeCell ref="G11:H11"/>
    <mergeCell ref="G12:H12"/>
    <mergeCell ref="G13:H13"/>
    <mergeCell ref="G14:H14"/>
    <mergeCell ref="G15:H15"/>
    <mergeCell ref="G16:H16"/>
    <mergeCell ref="G17:H17"/>
    <mergeCell ref="G18:H18"/>
    <mergeCell ref="A19:H19"/>
    <mergeCell ref="A21:H21"/>
    <mergeCell ref="A22:H22"/>
    <mergeCell ref="A34:H34"/>
    <mergeCell ref="A36:H36"/>
    <mergeCell ref="A37:H37"/>
    <mergeCell ref="G43:H43"/>
    <mergeCell ref="G38:H38"/>
    <mergeCell ref="G39:H39"/>
    <mergeCell ref="G40:H40"/>
    <mergeCell ref="G41:H41"/>
    <mergeCell ref="G42:H42"/>
  </mergeCells>
  <dataValidations count="6">
    <dataValidation type="list" allowBlank="1" sqref="G24:G33" xr:uid="{00000000-0002-0000-0700-000000000000}">
      <formula1>"✅ OUI,❌ NON"</formula1>
      <formula2>0</formula2>
    </dataValidation>
    <dataValidation type="list" allowBlank="1" sqref="E39:E43" xr:uid="{00000000-0002-0000-0700-000001000000}">
      <formula1>"🔴 Critique,🟠 Élevé,🟡 Modéré,🟢 Faible"</formula1>
      <formula2>0</formula2>
    </dataValidation>
    <dataValidation type="list" allowBlank="1" showInputMessage="1" promptTitle="N° Activité" prompt="Sélectionnez le numéro de l'activité AWP FY26" sqref="B11:B18 B24:B33" xr:uid="{CFBD7053-C301-41E7-8E34-EF6C2DDD11F7}">
      <formula1>AWP_ACTIVITES</formula1>
    </dataValidation>
    <dataValidation type="list" allowBlank="1" showInputMessage="1" promptTitle="Libellé de la tâche" prompt="Sélectionnez d'abord le N° Activité en colonne B, puis choisissez la tâche" sqref="C24:C33 C11:C18" xr:uid="{035732B8-D9B8-42C7-9256-ED09EAC7809B}">
      <formula1>INDIRECT("AWP_T_"&amp;SUBSTITUTE(SUBSTITUTE(B11,".","_"),"-","_"))</formula1>
    </dataValidation>
    <dataValidation type="list" allowBlank="1" showInputMessage="1" promptTitle="Thème" prompt="Sélectionnez le thème du point de vigilance" sqref="B39:B43" xr:uid="{413DAFFB-3D34-4533-936B-8A31B15EA7F4}">
      <formula1>AWP_THEMES</formula1>
    </dataValidation>
    <dataValidation type="list" allowBlank="1" showInputMessage="1" promptTitle="Catégorie" prompt="Sélectionnez d'abord le Thème en colonne B, puis choisissez la catégorie" sqref="C39:C43" xr:uid="{4684E439-9ACE-479C-AEF9-17F941FB6ECC}">
      <formula1>INDIRECT(VLOOKUP(B39,AWP_THEME_MAP,2,0))</formula1>
    </dataValidation>
  </dataValidation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A1:H43"/>
  <sheetViews>
    <sheetView zoomScaleNormal="100" workbookViewId="0">
      <pane ySplit="3" topLeftCell="A33" activePane="bottomLeft" state="frozen"/>
      <selection pane="bottomLeft" activeCell="C39" sqref="C39"/>
    </sheetView>
  </sheetViews>
  <sheetFormatPr baseColWidth="10" defaultColWidth="8.5703125" defaultRowHeight="15" x14ac:dyDescent="0.25"/>
  <cols>
    <col min="1" max="1" width="4.5703125" customWidth="1"/>
    <col min="2" max="2" width="28.5703125" customWidth="1"/>
    <col min="3" max="3" width="30" customWidth="1"/>
    <col min="4" max="4" width="32" customWidth="1"/>
    <col min="5" max="5" width="13" customWidth="1"/>
    <col min="6" max="6" width="14" customWidth="1"/>
    <col min="7" max="7" width="20" customWidth="1"/>
    <col min="8" max="8" width="30" customWidth="1"/>
  </cols>
  <sheetData>
    <row r="1" spans="1:8" ht="30" customHeight="1" x14ac:dyDescent="0.25">
      <c r="A1" s="220" t="s">
        <v>19</v>
      </c>
      <c r="B1" s="220"/>
      <c r="C1" s="220"/>
      <c r="D1" s="220"/>
      <c r="E1" s="220"/>
      <c r="F1" s="220"/>
      <c r="G1" s="220"/>
      <c r="H1" s="220"/>
    </row>
    <row r="2" spans="1:8" ht="21.75" customHeight="1" x14ac:dyDescent="0.25">
      <c r="A2" s="240" t="s">
        <v>141</v>
      </c>
      <c r="B2" s="240"/>
      <c r="C2" s="240"/>
      <c r="D2" s="240"/>
      <c r="E2" s="240"/>
      <c r="F2" s="241"/>
      <c r="G2" s="241"/>
      <c r="H2" s="241"/>
    </row>
    <row r="4" spans="1:8" ht="19.5" customHeight="1" x14ac:dyDescent="0.25">
      <c r="A4" s="240" t="s">
        <v>21</v>
      </c>
      <c r="B4" s="240"/>
      <c r="C4" s="240"/>
      <c r="D4" s="240"/>
      <c r="E4" s="240"/>
      <c r="F4" s="240"/>
      <c r="G4" s="240"/>
      <c r="H4" s="240"/>
    </row>
    <row r="5" spans="1:8" ht="18" customHeight="1" x14ac:dyDescent="0.25">
      <c r="A5" s="3" t="s">
        <v>22</v>
      </c>
      <c r="B5" s="3"/>
      <c r="C5" s="242" t="s">
        <v>23</v>
      </c>
      <c r="D5" s="242"/>
      <c r="E5" s="242" t="s">
        <v>24</v>
      </c>
      <c r="F5" s="242"/>
      <c r="G5" s="242" t="s">
        <v>25</v>
      </c>
      <c r="H5" s="242"/>
    </row>
    <row r="6" spans="1:8" ht="21.75" customHeight="1" x14ac:dyDescent="0.25">
      <c r="A6" s="5" t="s">
        <v>142</v>
      </c>
      <c r="B6" s="174"/>
      <c r="C6" s="235" t="s">
        <v>143</v>
      </c>
      <c r="D6" s="235"/>
      <c r="E6" s="236" t="str">
        <f>SE!E6</f>
        <v>Du 25/05 au 29/05/2026</v>
      </c>
      <c r="F6" s="236"/>
      <c r="G6" s="237">
        <f>SE!G6</f>
        <v>46174</v>
      </c>
      <c r="H6" s="236"/>
    </row>
    <row r="8" spans="1:8" ht="21.75" customHeight="1" x14ac:dyDescent="0.25">
      <c r="A8" s="238" t="s">
        <v>27</v>
      </c>
      <c r="B8" s="238"/>
      <c r="C8" s="238"/>
      <c r="D8" s="238"/>
      <c r="E8" s="238"/>
      <c r="F8" s="238"/>
      <c r="G8" s="238"/>
      <c r="H8" s="238"/>
    </row>
    <row r="9" spans="1:8" ht="15.75" customHeight="1" x14ac:dyDescent="0.25">
      <c r="A9" s="239" t="s">
        <v>28</v>
      </c>
      <c r="B9" s="239"/>
      <c r="C9" s="239"/>
      <c r="D9" s="239"/>
      <c r="E9" s="239"/>
      <c r="F9" s="239"/>
      <c r="G9" s="239"/>
      <c r="H9" s="239"/>
    </row>
    <row r="10" spans="1:8" ht="30" customHeight="1" x14ac:dyDescent="0.25">
      <c r="A10" s="2" t="s">
        <v>29</v>
      </c>
      <c r="B10" s="176" t="s">
        <v>30</v>
      </c>
      <c r="C10" s="176" t="s">
        <v>31</v>
      </c>
      <c r="D10" s="2" t="s">
        <v>32</v>
      </c>
      <c r="E10" s="2" t="s">
        <v>33</v>
      </c>
      <c r="F10" s="2" t="s">
        <v>34</v>
      </c>
      <c r="G10" s="226" t="s">
        <v>35</v>
      </c>
      <c r="H10" s="226"/>
    </row>
    <row r="11" spans="1:8" ht="36" customHeight="1" x14ac:dyDescent="0.25">
      <c r="A11" s="6">
        <v>1</v>
      </c>
      <c r="B11" s="177"/>
      <c r="C11" s="1"/>
      <c r="D11" s="1"/>
      <c r="E11" s="1"/>
      <c r="F11" s="1"/>
      <c r="G11" s="243"/>
      <c r="H11" s="243"/>
    </row>
    <row r="12" spans="1:8" ht="36" customHeight="1" x14ac:dyDescent="0.25">
      <c r="A12" s="6">
        <v>2</v>
      </c>
      <c r="B12" s="177"/>
      <c r="C12" s="1"/>
      <c r="D12" s="1"/>
      <c r="E12" s="1"/>
      <c r="F12" s="185"/>
      <c r="G12" s="243"/>
      <c r="H12" s="243"/>
    </row>
    <row r="13" spans="1:8" ht="36" customHeight="1" x14ac:dyDescent="0.25">
      <c r="A13" s="6">
        <v>3</v>
      </c>
      <c r="B13" s="177"/>
      <c r="C13" s="1"/>
      <c r="D13" s="1"/>
      <c r="E13" s="1"/>
      <c r="F13" s="1"/>
      <c r="G13" s="243"/>
      <c r="H13" s="243"/>
    </row>
    <row r="14" spans="1:8" ht="36" customHeight="1" x14ac:dyDescent="0.25">
      <c r="A14" s="6">
        <v>4</v>
      </c>
      <c r="B14" s="177"/>
      <c r="C14" s="1"/>
      <c r="D14" s="1"/>
      <c r="E14" s="1"/>
      <c r="F14" s="1"/>
      <c r="G14" s="243"/>
      <c r="H14" s="243"/>
    </row>
    <row r="15" spans="1:8" ht="36" customHeight="1" x14ac:dyDescent="0.25">
      <c r="A15" s="6">
        <v>5</v>
      </c>
      <c r="B15" s="177"/>
      <c r="C15" s="1"/>
      <c r="D15" s="1"/>
      <c r="E15" s="1"/>
      <c r="F15" s="1"/>
      <c r="G15" s="243"/>
      <c r="H15" s="243"/>
    </row>
    <row r="16" spans="1:8" ht="36" customHeight="1" x14ac:dyDescent="0.25">
      <c r="A16" s="6">
        <v>6</v>
      </c>
      <c r="B16" s="177"/>
      <c r="C16" s="1"/>
      <c r="D16" s="1"/>
      <c r="E16" s="1"/>
      <c r="F16" s="1"/>
      <c r="G16" s="243"/>
      <c r="H16" s="243"/>
    </row>
    <row r="17" spans="1:8" ht="36" customHeight="1" x14ac:dyDescent="0.25">
      <c r="A17" s="6">
        <v>7</v>
      </c>
      <c r="B17" s="177"/>
      <c r="C17" s="1"/>
      <c r="D17" s="1"/>
      <c r="E17" s="1"/>
      <c r="F17" s="1"/>
      <c r="G17" s="243"/>
      <c r="H17" s="243"/>
    </row>
    <row r="18" spans="1:8" ht="36" customHeight="1" x14ac:dyDescent="0.25">
      <c r="A18" s="6">
        <v>8</v>
      </c>
      <c r="B18" s="177"/>
      <c r="C18" s="1"/>
      <c r="D18" s="1"/>
      <c r="E18" s="1"/>
      <c r="F18" s="1"/>
      <c r="G18" s="243"/>
      <c r="H18" s="243"/>
    </row>
    <row r="19" spans="1:8" ht="12.75" customHeight="1" x14ac:dyDescent="0.25">
      <c r="A19" s="229" t="s">
        <v>69</v>
      </c>
      <c r="B19" s="229"/>
      <c r="C19" s="229"/>
      <c r="D19" s="229"/>
      <c r="E19" s="229"/>
      <c r="F19" s="229"/>
      <c r="G19" s="229"/>
      <c r="H19" s="229"/>
    </row>
    <row r="21" spans="1:8" ht="21.75" customHeight="1" x14ac:dyDescent="0.25">
      <c r="A21" s="227" t="s">
        <v>70</v>
      </c>
      <c r="B21" s="227"/>
      <c r="C21" s="227"/>
      <c r="D21" s="227"/>
      <c r="E21" s="227"/>
      <c r="F21" s="227"/>
      <c r="G21" s="227"/>
      <c r="H21" s="227"/>
    </row>
    <row r="22" spans="1:8" ht="15.75" customHeight="1" x14ac:dyDescent="0.25">
      <c r="A22" s="228" t="s">
        <v>71</v>
      </c>
      <c r="B22" s="228"/>
      <c r="C22" s="228"/>
      <c r="D22" s="228"/>
      <c r="E22" s="228"/>
      <c r="F22" s="228"/>
      <c r="G22" s="228"/>
      <c r="H22" s="228"/>
    </row>
    <row r="23" spans="1:8" ht="30" customHeight="1" x14ac:dyDescent="0.25">
      <c r="A23" s="2" t="s">
        <v>29</v>
      </c>
      <c r="B23" s="176" t="s">
        <v>30</v>
      </c>
      <c r="C23" s="176" t="s">
        <v>31</v>
      </c>
      <c r="D23" s="2" t="s">
        <v>32</v>
      </c>
      <c r="E23" s="2" t="s">
        <v>33</v>
      </c>
      <c r="F23" s="2" t="s">
        <v>72</v>
      </c>
      <c r="G23" s="2" t="s">
        <v>73</v>
      </c>
      <c r="H23" s="2" t="s">
        <v>74</v>
      </c>
    </row>
    <row r="24" spans="1:8" ht="51" x14ac:dyDescent="0.25">
      <c r="A24" s="6">
        <v>1</v>
      </c>
      <c r="B24" s="177" t="s">
        <v>144</v>
      </c>
      <c r="C24" s="1" t="s">
        <v>145</v>
      </c>
      <c r="D24" s="1" t="s">
        <v>146</v>
      </c>
      <c r="E24" s="1" t="s">
        <v>147</v>
      </c>
      <c r="F24" s="185">
        <v>46189</v>
      </c>
      <c r="G24" s="1" t="s">
        <v>78</v>
      </c>
      <c r="H24" s="1" t="s">
        <v>148</v>
      </c>
    </row>
    <row r="25" spans="1:8" ht="52.5" customHeight="1" x14ac:dyDescent="0.25">
      <c r="A25" s="6">
        <v>2</v>
      </c>
      <c r="B25" s="177" t="s">
        <v>149</v>
      </c>
      <c r="C25" s="1" t="s">
        <v>150</v>
      </c>
      <c r="D25" s="1" t="s">
        <v>151</v>
      </c>
      <c r="E25" s="1" t="s">
        <v>147</v>
      </c>
      <c r="F25" s="1"/>
      <c r="G25" s="1" t="s">
        <v>78</v>
      </c>
      <c r="H25" s="1" t="s">
        <v>152</v>
      </c>
    </row>
    <row r="26" spans="1:8" ht="31.5" customHeight="1" x14ac:dyDescent="0.25">
      <c r="A26" s="6">
        <v>3</v>
      </c>
      <c r="B26" s="177" t="s">
        <v>153</v>
      </c>
      <c r="C26" s="1" t="s">
        <v>154</v>
      </c>
      <c r="D26" s="1" t="s">
        <v>155</v>
      </c>
      <c r="E26" s="1" t="s">
        <v>66</v>
      </c>
      <c r="F26" s="1" t="s">
        <v>156</v>
      </c>
      <c r="G26" s="1" t="s">
        <v>78</v>
      </c>
      <c r="H26" s="1" t="s">
        <v>157</v>
      </c>
    </row>
    <row r="27" spans="1:8" ht="31.5" customHeight="1" x14ac:dyDescent="0.25">
      <c r="A27" s="6">
        <v>4</v>
      </c>
      <c r="B27" s="177" t="s">
        <v>144</v>
      </c>
      <c r="C27" s="1" t="s">
        <v>158</v>
      </c>
      <c r="D27" s="1" t="s">
        <v>159</v>
      </c>
      <c r="E27" s="1" t="s">
        <v>147</v>
      </c>
      <c r="F27" s="1" t="s">
        <v>160</v>
      </c>
      <c r="G27" s="1" t="s">
        <v>78</v>
      </c>
      <c r="H27" s="1" t="s">
        <v>161</v>
      </c>
    </row>
    <row r="28" spans="1:8" ht="31.5" customHeight="1" x14ac:dyDescent="0.25">
      <c r="A28" s="6">
        <v>5</v>
      </c>
      <c r="B28" s="177"/>
      <c r="C28" s="1"/>
      <c r="D28" s="1"/>
      <c r="E28" s="1"/>
      <c r="F28" s="1"/>
      <c r="G28" s="1"/>
      <c r="H28" s="1"/>
    </row>
    <row r="29" spans="1:8" ht="31.5" customHeight="1" x14ac:dyDescent="0.25">
      <c r="A29" s="6">
        <v>6</v>
      </c>
      <c r="B29" s="177"/>
      <c r="C29" s="1"/>
      <c r="D29" s="1"/>
      <c r="E29" s="1"/>
      <c r="F29" s="1"/>
      <c r="G29" s="1"/>
      <c r="H29" s="1"/>
    </row>
    <row r="30" spans="1:8" ht="31.5" customHeight="1" x14ac:dyDescent="0.25">
      <c r="A30" s="6">
        <v>7</v>
      </c>
      <c r="B30" s="177"/>
      <c r="C30" s="1"/>
      <c r="D30" s="1"/>
      <c r="E30" s="1"/>
      <c r="F30" s="1"/>
      <c r="G30" s="1"/>
      <c r="H30" s="1"/>
    </row>
    <row r="31" spans="1:8" ht="31.5" customHeight="1" x14ac:dyDescent="0.25">
      <c r="A31" s="6">
        <v>8</v>
      </c>
      <c r="B31" s="177"/>
      <c r="C31" s="1"/>
      <c r="D31" s="1"/>
      <c r="E31" s="1"/>
      <c r="F31" s="1"/>
      <c r="G31" s="1"/>
      <c r="H31" s="1"/>
    </row>
    <row r="32" spans="1:8" ht="31.5" customHeight="1" x14ac:dyDescent="0.25">
      <c r="A32" s="6">
        <v>9</v>
      </c>
      <c r="B32" s="177"/>
      <c r="C32" s="1"/>
      <c r="D32" s="1"/>
      <c r="E32" s="1"/>
      <c r="F32" s="1"/>
      <c r="G32" s="1"/>
      <c r="H32" s="1"/>
    </row>
    <row r="33" spans="1:8" ht="31.5" customHeight="1" x14ac:dyDescent="0.25">
      <c r="A33" s="6">
        <v>10</v>
      </c>
      <c r="B33" s="177"/>
      <c r="C33" s="1"/>
      <c r="D33" s="1"/>
      <c r="E33" s="1"/>
      <c r="F33" s="1"/>
      <c r="G33" s="1"/>
      <c r="H33" s="1"/>
    </row>
    <row r="34" spans="1:8" ht="12.75" customHeight="1" x14ac:dyDescent="0.25">
      <c r="A34" s="229" t="s">
        <v>119</v>
      </c>
      <c r="B34" s="229"/>
      <c r="C34" s="229"/>
      <c r="D34" s="229"/>
      <c r="E34" s="229"/>
      <c r="F34" s="229"/>
      <c r="G34" s="229"/>
      <c r="H34" s="229"/>
    </row>
    <row r="36" spans="1:8" ht="21.75" customHeight="1" x14ac:dyDescent="0.25">
      <c r="A36" s="230" t="s">
        <v>120</v>
      </c>
      <c r="B36" s="230"/>
      <c r="C36" s="230"/>
      <c r="D36" s="230"/>
      <c r="E36" s="230"/>
      <c r="F36" s="230"/>
      <c r="G36" s="230"/>
      <c r="H36" s="230"/>
    </row>
    <row r="37" spans="1:8" ht="15.75" customHeight="1" x14ac:dyDescent="0.25">
      <c r="A37" s="231" t="s">
        <v>121</v>
      </c>
      <c r="B37" s="231"/>
      <c r="C37" s="231"/>
      <c r="D37" s="231"/>
      <c r="E37" s="231"/>
      <c r="F37" s="231"/>
      <c r="G37" s="231"/>
      <c r="H37" s="231"/>
    </row>
    <row r="38" spans="1:8" ht="30" customHeight="1" x14ac:dyDescent="0.25">
      <c r="A38" s="2" t="s">
        <v>29</v>
      </c>
      <c r="B38" s="176" t="s">
        <v>122</v>
      </c>
      <c r="C38" s="2" t="s">
        <v>123</v>
      </c>
      <c r="D38" s="2" t="s">
        <v>124</v>
      </c>
      <c r="E38" s="2" t="s">
        <v>125</v>
      </c>
      <c r="F38" s="2" t="s">
        <v>126</v>
      </c>
      <c r="G38" s="226"/>
      <c r="H38" s="226"/>
    </row>
    <row r="39" spans="1:8" ht="91.5" customHeight="1" x14ac:dyDescent="0.25">
      <c r="A39" s="6">
        <v>1</v>
      </c>
      <c r="B39" s="177" t="s">
        <v>162</v>
      </c>
      <c r="C39" s="181"/>
      <c r="D39" s="1" t="s">
        <v>163</v>
      </c>
      <c r="E39" s="1" t="s">
        <v>164</v>
      </c>
      <c r="F39" s="1" t="s">
        <v>165</v>
      </c>
      <c r="G39" s="209"/>
      <c r="H39" s="209"/>
    </row>
    <row r="40" spans="1:8" ht="31.5" customHeight="1" x14ac:dyDescent="0.25">
      <c r="A40" s="6">
        <v>2</v>
      </c>
      <c r="B40" s="177"/>
      <c r="C40" s="181"/>
      <c r="D40" s="1"/>
      <c r="E40" s="1"/>
      <c r="F40" s="1"/>
      <c r="G40" s="209"/>
      <c r="H40" s="209"/>
    </row>
    <row r="41" spans="1:8" ht="31.5" customHeight="1" x14ac:dyDescent="0.25">
      <c r="A41" s="6">
        <v>3</v>
      </c>
      <c r="B41" s="177"/>
      <c r="C41" s="181"/>
      <c r="D41" s="1"/>
      <c r="E41" s="1"/>
      <c r="F41" s="1"/>
      <c r="G41" s="209"/>
      <c r="H41" s="209"/>
    </row>
    <row r="42" spans="1:8" ht="31.5" customHeight="1" x14ac:dyDescent="0.25">
      <c r="A42" s="6">
        <v>4</v>
      </c>
      <c r="B42" s="177"/>
      <c r="C42" s="181"/>
      <c r="D42" s="1"/>
      <c r="E42" s="1"/>
      <c r="F42" s="1"/>
      <c r="G42" s="209"/>
      <c r="H42" s="209"/>
    </row>
    <row r="43" spans="1:8" ht="31.5" customHeight="1" x14ac:dyDescent="0.25">
      <c r="A43" s="6">
        <v>5</v>
      </c>
      <c r="B43" s="177"/>
      <c r="C43" s="181"/>
      <c r="D43" s="1"/>
      <c r="E43" s="1"/>
      <c r="F43" s="1"/>
      <c r="G43" s="209"/>
      <c r="H43" s="209"/>
    </row>
  </sheetData>
  <mergeCells count="33">
    <mergeCell ref="A1:H1"/>
    <mergeCell ref="A2:E2"/>
    <mergeCell ref="F2:H2"/>
    <mergeCell ref="A4:H4"/>
    <mergeCell ref="C5:D5"/>
    <mergeCell ref="E5:F5"/>
    <mergeCell ref="G5:H5"/>
    <mergeCell ref="C6:D6"/>
    <mergeCell ref="E6:F6"/>
    <mergeCell ref="G6:H6"/>
    <mergeCell ref="A8:H8"/>
    <mergeCell ref="A9:H9"/>
    <mergeCell ref="G10:H10"/>
    <mergeCell ref="G11:H11"/>
    <mergeCell ref="G12:H12"/>
    <mergeCell ref="G13:H13"/>
    <mergeCell ref="G14:H14"/>
    <mergeCell ref="G15:H15"/>
    <mergeCell ref="G16:H16"/>
    <mergeCell ref="G17:H17"/>
    <mergeCell ref="G18:H18"/>
    <mergeCell ref="A19:H19"/>
    <mergeCell ref="A21:H21"/>
    <mergeCell ref="A22:H22"/>
    <mergeCell ref="A34:H34"/>
    <mergeCell ref="A36:H36"/>
    <mergeCell ref="A37:H37"/>
    <mergeCell ref="G43:H43"/>
    <mergeCell ref="G38:H38"/>
    <mergeCell ref="G39:H39"/>
    <mergeCell ref="G40:H40"/>
    <mergeCell ref="G41:H41"/>
    <mergeCell ref="G42:H42"/>
  </mergeCells>
  <dataValidations count="6">
    <dataValidation type="list" allowBlank="1" sqref="G24:G33" xr:uid="{00000000-0002-0000-0200-000000000000}">
      <formula1>"✅ OUI,❌ NON"</formula1>
      <formula2>0</formula2>
    </dataValidation>
    <dataValidation type="list" allowBlank="1" sqref="E39:E43" xr:uid="{00000000-0002-0000-0200-000001000000}">
      <formula1>"🔴 Critique,🟠 Élevé,🟡 Modéré,🟢 Faible"</formula1>
      <formula2>0</formula2>
    </dataValidation>
    <dataValidation type="list" allowBlank="1" showInputMessage="1" promptTitle="N° Activité" prompt="Sélectionnez le numéro de l'activité AWP FY26" sqref="B11:B18 B24:B33" xr:uid="{B1BEB040-791D-4DA1-978F-372B9B970B48}">
      <formula1>AWP_ACTIVITES</formula1>
    </dataValidation>
    <dataValidation type="list" allowBlank="1" showInputMessage="1" promptTitle="Libellé de la tâche" prompt="Sélectionnez d'abord le N° Activité en colonne B, puis choisissez la tâche" sqref="C11:C18 C24:C33" xr:uid="{C98ECAAB-0D03-407B-B8B1-3624754892E3}">
      <formula1>INDIRECT("AWP_T_"&amp;SUBSTITUTE(SUBSTITUTE(B11,".","_"),"-","_"))</formula1>
    </dataValidation>
    <dataValidation type="list" allowBlank="1" showInputMessage="1" promptTitle="Thème" prompt="Sélectionnez le thème du point de vigilance" sqref="B39:B43" xr:uid="{6268372A-C174-4473-BD06-D404ABBA7BEB}">
      <formula1>AWP_THEMES</formula1>
    </dataValidation>
    <dataValidation type="list" allowBlank="1" showInputMessage="1" promptTitle="Catégorie" prompt="Sélectionnez d'abord le Thème en colonne B, puis choisissez la catégorie" sqref="C39:C43" xr:uid="{113E1329-F380-453C-9CE8-8C992445377B}">
      <formula1>INDIRECT(VLOOKUP(B39,AWP_THEME_MAP,2,0))</formula1>
    </dataValidation>
  </dataValidation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pageSetUpPr fitToPage="1"/>
  </sheetPr>
  <dimension ref="A1:H45"/>
  <sheetViews>
    <sheetView zoomScaleNormal="100" workbookViewId="0">
      <pane ySplit="3" topLeftCell="A11" activePane="bottomLeft" state="frozen"/>
      <selection pane="bottomLeft" activeCell="C15" sqref="C15"/>
    </sheetView>
  </sheetViews>
  <sheetFormatPr baseColWidth="10" defaultColWidth="8.5703125" defaultRowHeight="15" x14ac:dyDescent="0.25"/>
  <cols>
    <col min="1" max="1" width="4.5703125" customWidth="1"/>
    <col min="2" max="2" width="30" customWidth="1"/>
    <col min="3" max="3" width="39.5703125" customWidth="1"/>
    <col min="4" max="4" width="32" customWidth="1"/>
    <col min="5" max="5" width="13" customWidth="1"/>
    <col min="6" max="6" width="29.140625" customWidth="1"/>
    <col min="7" max="7" width="20" customWidth="1"/>
    <col min="8" max="8" width="55.85546875" customWidth="1"/>
  </cols>
  <sheetData>
    <row r="1" spans="1:8" ht="30" customHeight="1" x14ac:dyDescent="0.25">
      <c r="A1" s="220" t="s">
        <v>19</v>
      </c>
      <c r="B1" s="220"/>
      <c r="C1" s="220"/>
      <c r="D1" s="220"/>
      <c r="E1" s="220"/>
      <c r="F1" s="220"/>
      <c r="G1" s="220"/>
      <c r="H1" s="220"/>
    </row>
    <row r="2" spans="1:8" ht="21.75" customHeight="1" x14ac:dyDescent="0.25">
      <c r="A2" s="240" t="s">
        <v>166</v>
      </c>
      <c r="B2" s="240"/>
      <c r="C2" s="240"/>
      <c r="D2" s="240"/>
      <c r="E2" s="240"/>
      <c r="F2" s="241"/>
      <c r="G2" s="241"/>
      <c r="H2" s="241"/>
    </row>
    <row r="4" spans="1:8" ht="19.5" customHeight="1" x14ac:dyDescent="0.25">
      <c r="A4" s="240" t="s">
        <v>21</v>
      </c>
      <c r="B4" s="240"/>
      <c r="C4" s="240"/>
      <c r="D4" s="240"/>
      <c r="E4" s="240"/>
      <c r="F4" s="240"/>
      <c r="G4" s="240"/>
      <c r="H4" s="240"/>
    </row>
    <row r="5" spans="1:8" ht="18" customHeight="1" x14ac:dyDescent="0.25">
      <c r="A5" s="3" t="s">
        <v>22</v>
      </c>
      <c r="B5" s="3"/>
      <c r="C5" s="242" t="s">
        <v>23</v>
      </c>
      <c r="D5" s="242"/>
      <c r="E5" s="242" t="s">
        <v>24</v>
      </c>
      <c r="F5" s="242"/>
      <c r="G5" s="242" t="s">
        <v>25</v>
      </c>
      <c r="H5" s="242"/>
    </row>
    <row r="6" spans="1:8" ht="21.75" customHeight="1" x14ac:dyDescent="0.25">
      <c r="A6" s="5" t="s">
        <v>167</v>
      </c>
      <c r="B6" s="174"/>
      <c r="C6" s="235" t="s">
        <v>168</v>
      </c>
      <c r="D6" s="235"/>
      <c r="E6" s="236" t="str">
        <f>SE!E6</f>
        <v>Du 25/05 au 29/05/2026</v>
      </c>
      <c r="F6" s="236"/>
      <c r="G6" s="237">
        <f>SE!G6</f>
        <v>46174</v>
      </c>
      <c r="H6" s="236"/>
    </row>
    <row r="8" spans="1:8" ht="21.75" customHeight="1" x14ac:dyDescent="0.25">
      <c r="A8" s="238" t="s">
        <v>27</v>
      </c>
      <c r="B8" s="238"/>
      <c r="C8" s="238"/>
      <c r="D8" s="238"/>
      <c r="E8" s="238"/>
      <c r="F8" s="238"/>
      <c r="G8" s="238"/>
      <c r="H8" s="238"/>
    </row>
    <row r="9" spans="1:8" ht="15.75" customHeight="1" x14ac:dyDescent="0.25">
      <c r="A9" s="239" t="s">
        <v>28</v>
      </c>
      <c r="B9" s="239"/>
      <c r="C9" s="239"/>
      <c r="D9" s="239"/>
      <c r="E9" s="239"/>
      <c r="F9" s="239"/>
      <c r="G9" s="239"/>
      <c r="H9" s="239"/>
    </row>
    <row r="10" spans="1:8" ht="30" customHeight="1" x14ac:dyDescent="0.25">
      <c r="A10" s="2" t="s">
        <v>29</v>
      </c>
      <c r="B10" s="176" t="s">
        <v>30</v>
      </c>
      <c r="C10" s="176" t="s">
        <v>31</v>
      </c>
      <c r="D10" s="2" t="s">
        <v>32</v>
      </c>
      <c r="E10" s="2" t="s">
        <v>33</v>
      </c>
      <c r="F10" s="2" t="s">
        <v>34</v>
      </c>
      <c r="G10" s="226" t="s">
        <v>35</v>
      </c>
      <c r="H10" s="226"/>
    </row>
    <row r="11" spans="1:8" ht="87.75" customHeight="1" x14ac:dyDescent="0.25">
      <c r="A11" s="6">
        <v>1</v>
      </c>
      <c r="B11" s="177" t="s">
        <v>169</v>
      </c>
      <c r="C11" s="1" t="s">
        <v>170</v>
      </c>
      <c r="D11" s="184" t="s">
        <v>171</v>
      </c>
      <c r="E11" s="1" t="s">
        <v>172</v>
      </c>
      <c r="F11" s="186">
        <v>46168</v>
      </c>
      <c r="G11" s="245" t="s">
        <v>173</v>
      </c>
      <c r="H11" s="243"/>
    </row>
    <row r="12" spans="1:8" ht="110.25" customHeight="1" x14ac:dyDescent="0.25">
      <c r="A12" s="6">
        <v>2</v>
      </c>
      <c r="B12" s="177" t="s">
        <v>174</v>
      </c>
      <c r="C12" s="1" t="s">
        <v>175</v>
      </c>
      <c r="D12" s="184" t="s">
        <v>176</v>
      </c>
      <c r="E12" s="1" t="s">
        <v>177</v>
      </c>
      <c r="F12" s="186">
        <v>46171</v>
      </c>
      <c r="G12" s="245" t="s">
        <v>178</v>
      </c>
      <c r="H12" s="243"/>
    </row>
    <row r="13" spans="1:8" ht="59.25" customHeight="1" x14ac:dyDescent="0.25">
      <c r="A13" s="6">
        <v>3</v>
      </c>
      <c r="B13" s="177" t="s">
        <v>179</v>
      </c>
      <c r="C13" s="1" t="s">
        <v>180</v>
      </c>
      <c r="D13" s="184" t="s">
        <v>181</v>
      </c>
      <c r="E13" s="1" t="s">
        <v>177</v>
      </c>
      <c r="F13" s="186">
        <v>46170</v>
      </c>
      <c r="G13" s="243" t="s">
        <v>182</v>
      </c>
      <c r="H13" s="243"/>
    </row>
    <row r="14" spans="1:8" ht="45" customHeight="1" x14ac:dyDescent="0.25">
      <c r="A14" s="6">
        <v>4</v>
      </c>
      <c r="B14" s="177" t="s">
        <v>183</v>
      </c>
      <c r="C14" s="1" t="s">
        <v>184</v>
      </c>
      <c r="D14" s="1" t="s">
        <v>185</v>
      </c>
      <c r="E14" s="1" t="s">
        <v>186</v>
      </c>
      <c r="F14" s="1" t="s">
        <v>187</v>
      </c>
      <c r="G14" s="243" t="s">
        <v>188</v>
      </c>
      <c r="H14" s="243"/>
    </row>
    <row r="15" spans="1:8" ht="36" customHeight="1" x14ac:dyDescent="0.25">
      <c r="A15" s="6">
        <v>5</v>
      </c>
      <c r="B15" s="1" t="s">
        <v>135</v>
      </c>
      <c r="C15" s="1" t="s">
        <v>136</v>
      </c>
      <c r="D15" s="1" t="s">
        <v>189</v>
      </c>
      <c r="E15" s="1" t="s">
        <v>186</v>
      </c>
      <c r="F15" s="1" t="s">
        <v>190</v>
      </c>
      <c r="G15" s="243" t="s">
        <v>191</v>
      </c>
      <c r="H15" s="243"/>
    </row>
    <row r="16" spans="1:8" ht="30.75" customHeight="1" x14ac:dyDescent="0.25">
      <c r="A16" s="6">
        <v>6</v>
      </c>
      <c r="B16" s="177" t="s">
        <v>192</v>
      </c>
      <c r="C16" s="1" t="s">
        <v>193</v>
      </c>
      <c r="D16" s="1" t="s">
        <v>194</v>
      </c>
      <c r="E16" s="1" t="s">
        <v>186</v>
      </c>
      <c r="F16" s="1" t="s">
        <v>195</v>
      </c>
      <c r="G16" s="243" t="s">
        <v>196</v>
      </c>
      <c r="H16" s="243"/>
    </row>
    <row r="17" spans="1:8" ht="36" customHeight="1" x14ac:dyDescent="0.25">
      <c r="A17" s="6">
        <v>7</v>
      </c>
      <c r="B17" s="177" t="s">
        <v>135</v>
      </c>
      <c r="C17" s="1" t="s">
        <v>197</v>
      </c>
      <c r="D17" s="1" t="s">
        <v>189</v>
      </c>
      <c r="E17" s="1" t="s">
        <v>186</v>
      </c>
      <c r="F17" s="1" t="s">
        <v>195</v>
      </c>
      <c r="G17" s="243"/>
      <c r="H17" s="243"/>
    </row>
    <row r="18" spans="1:8" ht="36" customHeight="1" x14ac:dyDescent="0.25">
      <c r="A18" s="6">
        <v>8</v>
      </c>
      <c r="B18" s="177"/>
      <c r="C18" s="1"/>
      <c r="D18" s="1"/>
      <c r="E18" s="1"/>
      <c r="F18" s="186"/>
      <c r="G18" s="243"/>
      <c r="H18" s="243"/>
    </row>
    <row r="19" spans="1:8" ht="12.75" customHeight="1" x14ac:dyDescent="0.25">
      <c r="A19" s="229" t="s">
        <v>69</v>
      </c>
      <c r="B19" s="229"/>
      <c r="C19" s="229"/>
      <c r="D19" s="229"/>
      <c r="E19" s="229"/>
      <c r="F19" s="229"/>
      <c r="G19" s="229"/>
      <c r="H19" s="229"/>
    </row>
    <row r="21" spans="1:8" ht="21.75" customHeight="1" x14ac:dyDescent="0.25">
      <c r="A21" s="227" t="s">
        <v>70</v>
      </c>
      <c r="B21" s="227"/>
      <c r="C21" s="227"/>
      <c r="D21" s="227"/>
      <c r="E21" s="227"/>
      <c r="F21" s="227"/>
      <c r="G21" s="227"/>
      <c r="H21" s="227"/>
    </row>
    <row r="22" spans="1:8" ht="15.75" customHeight="1" x14ac:dyDescent="0.25">
      <c r="A22" s="228" t="s">
        <v>71</v>
      </c>
      <c r="B22" s="228"/>
      <c r="C22" s="228"/>
      <c r="D22" s="228"/>
      <c r="E22" s="228"/>
      <c r="F22" s="228"/>
      <c r="G22" s="228"/>
      <c r="H22" s="228"/>
    </row>
    <row r="23" spans="1:8" ht="30" customHeight="1" x14ac:dyDescent="0.25">
      <c r="A23" s="2" t="s">
        <v>29</v>
      </c>
      <c r="B23" s="176" t="s">
        <v>30</v>
      </c>
      <c r="C23" s="176" t="s">
        <v>31</v>
      </c>
      <c r="D23" s="2" t="s">
        <v>32</v>
      </c>
      <c r="E23" s="2" t="s">
        <v>33</v>
      </c>
      <c r="F23" s="2" t="s">
        <v>72</v>
      </c>
      <c r="G23" s="2" t="s">
        <v>73</v>
      </c>
      <c r="H23" s="2" t="s">
        <v>74</v>
      </c>
    </row>
    <row r="24" spans="1:8" ht="62.25" customHeight="1" x14ac:dyDescent="0.25">
      <c r="A24" s="6">
        <v>1</v>
      </c>
      <c r="B24" s="177" t="s">
        <v>198</v>
      </c>
      <c r="C24" s="1" t="s">
        <v>199</v>
      </c>
      <c r="D24" s="1" t="s">
        <v>200</v>
      </c>
      <c r="E24" s="1" t="s">
        <v>201</v>
      </c>
      <c r="F24" s="1" t="s">
        <v>202</v>
      </c>
      <c r="G24" s="1" t="s">
        <v>203</v>
      </c>
      <c r="H24" s="1"/>
    </row>
    <row r="25" spans="1:8" ht="31.5" customHeight="1" x14ac:dyDescent="0.25">
      <c r="A25" s="6">
        <v>2</v>
      </c>
      <c r="B25" s="177" t="s">
        <v>198</v>
      </c>
      <c r="C25" s="1" t="s">
        <v>204</v>
      </c>
      <c r="D25" s="1" t="s">
        <v>205</v>
      </c>
      <c r="E25" s="1" t="s">
        <v>66</v>
      </c>
      <c r="F25" s="1" t="s">
        <v>206</v>
      </c>
      <c r="G25" s="1" t="s">
        <v>203</v>
      </c>
      <c r="H25" s="1"/>
    </row>
    <row r="26" spans="1:8" ht="31.5" customHeight="1" x14ac:dyDescent="0.25">
      <c r="A26" s="6">
        <v>3</v>
      </c>
      <c r="B26" s="177" t="s">
        <v>179</v>
      </c>
      <c r="C26" s="1" t="s">
        <v>207</v>
      </c>
      <c r="D26" s="1" t="s">
        <v>208</v>
      </c>
      <c r="E26" s="1" t="s">
        <v>209</v>
      </c>
      <c r="F26" s="1" t="s">
        <v>210</v>
      </c>
      <c r="G26" s="1" t="s">
        <v>78</v>
      </c>
      <c r="H26" s="1"/>
    </row>
    <row r="27" spans="1:8" ht="31.5" customHeight="1" x14ac:dyDescent="0.25">
      <c r="A27" s="6"/>
      <c r="B27" s="177" t="s">
        <v>179</v>
      </c>
      <c r="C27" s="1" t="s">
        <v>180</v>
      </c>
      <c r="D27" s="1" t="s">
        <v>208</v>
      </c>
      <c r="E27" s="1" t="s">
        <v>177</v>
      </c>
      <c r="F27" s="186" t="s">
        <v>211</v>
      </c>
      <c r="G27" s="1" t="s">
        <v>78</v>
      </c>
      <c r="H27" s="1"/>
    </row>
    <row r="28" spans="1:8" ht="31.5" customHeight="1" x14ac:dyDescent="0.25">
      <c r="A28" s="6">
        <v>5</v>
      </c>
      <c r="B28" s="177" t="s">
        <v>179</v>
      </c>
      <c r="C28" s="1" t="s">
        <v>207</v>
      </c>
      <c r="D28" s="1" t="s">
        <v>208</v>
      </c>
      <c r="E28" s="1" t="s">
        <v>212</v>
      </c>
      <c r="F28" s="1" t="s">
        <v>213</v>
      </c>
      <c r="G28" s="1" t="s">
        <v>78</v>
      </c>
      <c r="H28" s="1"/>
    </row>
    <row r="29" spans="1:8" ht="31.5" customHeight="1" x14ac:dyDescent="0.25">
      <c r="A29" s="6">
        <v>6</v>
      </c>
      <c r="B29" s="177" t="s">
        <v>183</v>
      </c>
      <c r="C29" s="1" t="s">
        <v>214</v>
      </c>
      <c r="D29" s="1" t="s">
        <v>215</v>
      </c>
      <c r="E29" s="1" t="s">
        <v>186</v>
      </c>
      <c r="F29" s="1" t="s">
        <v>195</v>
      </c>
      <c r="G29" s="1" t="s">
        <v>78</v>
      </c>
      <c r="H29" s="1"/>
    </row>
    <row r="30" spans="1:8" ht="31.5" customHeight="1" x14ac:dyDescent="0.25">
      <c r="A30" s="6">
        <v>7</v>
      </c>
      <c r="B30" s="177" t="s">
        <v>135</v>
      </c>
      <c r="C30" s="1" t="s">
        <v>197</v>
      </c>
      <c r="D30" s="1" t="s">
        <v>189</v>
      </c>
      <c r="E30" s="1" t="s">
        <v>186</v>
      </c>
      <c r="F30" s="1" t="s">
        <v>195</v>
      </c>
      <c r="G30" s="1" t="s">
        <v>78</v>
      </c>
      <c r="H30" s="1"/>
    </row>
    <row r="31" spans="1:8" ht="31.5" customHeight="1" x14ac:dyDescent="0.25">
      <c r="A31" s="6">
        <v>8</v>
      </c>
      <c r="B31" s="177" t="s">
        <v>192</v>
      </c>
      <c r="C31" s="1" t="s">
        <v>193</v>
      </c>
      <c r="D31" s="1" t="s">
        <v>194</v>
      </c>
      <c r="E31" s="1" t="s">
        <v>186</v>
      </c>
      <c r="F31" s="1" t="s">
        <v>195</v>
      </c>
      <c r="G31" s="1" t="s">
        <v>78</v>
      </c>
      <c r="H31" s="1"/>
    </row>
    <row r="32" spans="1:8" ht="31.5" customHeight="1" x14ac:dyDescent="0.25">
      <c r="A32" s="6">
        <v>9</v>
      </c>
      <c r="B32" s="177" t="s">
        <v>216</v>
      </c>
      <c r="C32" s="1" t="s">
        <v>217</v>
      </c>
      <c r="D32" s="1" t="s">
        <v>218</v>
      </c>
      <c r="E32" s="1" t="s">
        <v>186</v>
      </c>
      <c r="F32" s="1" t="s">
        <v>219</v>
      </c>
      <c r="G32" s="1" t="s">
        <v>78</v>
      </c>
      <c r="H32" s="1"/>
    </row>
    <row r="33" spans="1:8" ht="31.5" customHeight="1" x14ac:dyDescent="0.25">
      <c r="A33" s="6">
        <v>10</v>
      </c>
      <c r="B33" s="177" t="s">
        <v>183</v>
      </c>
      <c r="C33" s="1" t="s">
        <v>184</v>
      </c>
      <c r="D33" s="1" t="s">
        <v>185</v>
      </c>
      <c r="E33" s="1" t="s">
        <v>186</v>
      </c>
      <c r="F33" s="1" t="s">
        <v>219</v>
      </c>
      <c r="G33" s="1" t="s">
        <v>78</v>
      </c>
      <c r="H33" s="1"/>
    </row>
    <row r="34" spans="1:8" ht="12.75" customHeight="1" x14ac:dyDescent="0.25">
      <c r="A34" s="229" t="s">
        <v>119</v>
      </c>
      <c r="B34" s="229"/>
      <c r="C34" s="229"/>
      <c r="D34" s="229"/>
      <c r="E34" s="229"/>
      <c r="F34" s="229"/>
      <c r="G34" s="229"/>
      <c r="H34" s="229"/>
    </row>
    <row r="36" spans="1:8" ht="21.75" customHeight="1" x14ac:dyDescent="0.25">
      <c r="A36" s="230" t="s">
        <v>120</v>
      </c>
      <c r="B36" s="230"/>
      <c r="C36" s="230"/>
      <c r="D36" s="230"/>
      <c r="E36" s="230"/>
      <c r="F36" s="230"/>
      <c r="G36" s="230"/>
      <c r="H36" s="230"/>
    </row>
    <row r="37" spans="1:8" ht="15.75" customHeight="1" x14ac:dyDescent="0.25">
      <c r="A37" s="231" t="s">
        <v>121</v>
      </c>
      <c r="B37" s="231"/>
      <c r="C37" s="231"/>
      <c r="D37" s="231"/>
      <c r="E37" s="231"/>
      <c r="F37" s="231"/>
      <c r="G37" s="231"/>
      <c r="H37" s="231"/>
    </row>
    <row r="38" spans="1:8" ht="30" customHeight="1" x14ac:dyDescent="0.25">
      <c r="A38" s="2" t="s">
        <v>29</v>
      </c>
      <c r="B38" s="176" t="s">
        <v>122</v>
      </c>
      <c r="C38" s="2" t="s">
        <v>123</v>
      </c>
      <c r="D38" s="2" t="s">
        <v>124</v>
      </c>
      <c r="E38" s="2" t="s">
        <v>125</v>
      </c>
      <c r="F38" s="2" t="s">
        <v>126</v>
      </c>
      <c r="G38" s="226"/>
      <c r="H38" s="226"/>
    </row>
    <row r="39" spans="1:8" ht="75.75" customHeight="1" x14ac:dyDescent="0.25">
      <c r="A39" s="6">
        <v>1</v>
      </c>
      <c r="B39" s="177" t="s">
        <v>220</v>
      </c>
      <c r="C39" s="181" t="s">
        <v>221</v>
      </c>
      <c r="D39" s="1" t="s">
        <v>222</v>
      </c>
      <c r="E39" s="1" t="s">
        <v>164</v>
      </c>
      <c r="F39" s="184" t="s">
        <v>223</v>
      </c>
      <c r="G39" s="209"/>
      <c r="H39" s="209"/>
    </row>
    <row r="40" spans="1:8" ht="117" customHeight="1" x14ac:dyDescent="0.25">
      <c r="A40" s="6">
        <v>2</v>
      </c>
      <c r="B40" s="180" t="s">
        <v>220</v>
      </c>
      <c r="C40" s="181" t="s">
        <v>224</v>
      </c>
      <c r="D40" s="1" t="s">
        <v>225</v>
      </c>
      <c r="E40" s="1" t="s">
        <v>164</v>
      </c>
      <c r="F40" s="184" t="s">
        <v>226</v>
      </c>
      <c r="G40" s="209"/>
      <c r="H40" s="209"/>
    </row>
    <row r="41" spans="1:8" ht="51.75" customHeight="1" x14ac:dyDescent="0.25">
      <c r="A41" s="6">
        <v>3</v>
      </c>
      <c r="B41" s="180"/>
      <c r="C41" s="181"/>
      <c r="D41" s="1"/>
      <c r="E41" s="1"/>
      <c r="F41" s="1"/>
      <c r="G41" s="209"/>
      <c r="H41" s="209"/>
    </row>
    <row r="42" spans="1:8" ht="31.5" customHeight="1" x14ac:dyDescent="0.25">
      <c r="A42" s="6">
        <v>4</v>
      </c>
      <c r="B42" s="177"/>
      <c r="C42" s="181"/>
      <c r="D42" s="1"/>
      <c r="E42" s="1"/>
      <c r="F42" s="1"/>
      <c r="G42" s="209"/>
      <c r="H42" s="209"/>
    </row>
    <row r="43" spans="1:8" ht="31.5" customHeight="1" x14ac:dyDescent="0.25">
      <c r="A43" s="6">
        <v>5</v>
      </c>
      <c r="B43" s="177"/>
      <c r="C43" s="181"/>
      <c r="D43" s="1"/>
      <c r="E43" s="1"/>
      <c r="F43" s="1"/>
      <c r="G43" s="209"/>
      <c r="H43" s="209"/>
    </row>
    <row r="45" spans="1:8" ht="15.75" customHeight="1" x14ac:dyDescent="0.25">
      <c r="A45" s="244" t="s">
        <v>227</v>
      </c>
      <c r="B45" s="244"/>
      <c r="C45" s="244"/>
      <c r="D45" s="244"/>
      <c r="E45" s="244"/>
      <c r="F45" s="244"/>
      <c r="G45" s="244"/>
      <c r="H45" s="244"/>
    </row>
  </sheetData>
  <mergeCells count="34">
    <mergeCell ref="A1:H1"/>
    <mergeCell ref="A2:E2"/>
    <mergeCell ref="F2:H2"/>
    <mergeCell ref="A4:H4"/>
    <mergeCell ref="C5:D5"/>
    <mergeCell ref="E5:F5"/>
    <mergeCell ref="G5:H5"/>
    <mergeCell ref="C6:D6"/>
    <mergeCell ref="E6:F6"/>
    <mergeCell ref="G6:H6"/>
    <mergeCell ref="A8:H8"/>
    <mergeCell ref="A9:H9"/>
    <mergeCell ref="G10:H10"/>
    <mergeCell ref="G11:H11"/>
    <mergeCell ref="G12:H12"/>
    <mergeCell ref="G13:H13"/>
    <mergeCell ref="G14:H14"/>
    <mergeCell ref="G15:H15"/>
    <mergeCell ref="G16:H16"/>
    <mergeCell ref="G17:H17"/>
    <mergeCell ref="G18:H18"/>
    <mergeCell ref="A19:H19"/>
    <mergeCell ref="A21:H21"/>
    <mergeCell ref="A22:H22"/>
    <mergeCell ref="A34:H34"/>
    <mergeCell ref="A36:H36"/>
    <mergeCell ref="A37:H37"/>
    <mergeCell ref="G43:H43"/>
    <mergeCell ref="A45:H45"/>
    <mergeCell ref="G38:H38"/>
    <mergeCell ref="G39:H39"/>
    <mergeCell ref="G40:H40"/>
    <mergeCell ref="G41:H41"/>
    <mergeCell ref="G42:H42"/>
  </mergeCells>
  <dataValidations count="6">
    <dataValidation type="list" allowBlank="1" sqref="E39:E43" xr:uid="{00000000-0002-0000-0300-000001000000}">
      <formula1>"🔴 Critique,🟠 Élevé,🟡 Modéré,🟢 Faible"</formula1>
      <formula2>0</formula2>
    </dataValidation>
    <dataValidation type="list" allowBlank="1" showInputMessage="1" promptTitle="N° Activité" prompt="Sélectionnez le numéro de l'activité AWP FY26" sqref="B24:B33 B11:B14 B16:B18" xr:uid="{26AD53F7-9AD6-43B3-8974-4573FA8705B5}">
      <formula1>AWP_ACTIVITES</formula1>
    </dataValidation>
    <dataValidation type="list" allowBlank="1" showInputMessage="1" promptTitle="Libellé de la tâche" prompt="Sélectionnez d'abord le N° Activité en colonne B, puis choisissez la tâche" sqref="C24:C32 C11:C13 B15:C15 C16:C18" xr:uid="{27F9B893-159E-4EE3-90E2-C0C96E56783B}">
      <formula1>INDIRECT("AWP_T_"&amp;SUBSTITUTE(SUBSTITUTE(A11,".","_"),"-","_"))</formula1>
    </dataValidation>
    <dataValidation type="list" allowBlank="1" showInputMessage="1" promptTitle="Thème" prompt="Sélectionnez le thème du point de vigilance" sqref="B39:B43" xr:uid="{F33D6E03-D650-4DC0-A6D2-B079E37E2BD4}">
      <formula1>AWP_THEMES</formula1>
    </dataValidation>
    <dataValidation type="list" allowBlank="1" showInputMessage="1" promptTitle="Catégorie" prompt="Sélectionnez d'abord le Thème en colonne B, puis choisissez la catégorie" sqref="C39:C43" xr:uid="{651D5E1D-2736-4F2E-BE13-059EAEA8DD00}">
      <formula1>INDIRECT(VLOOKUP(B39,AWP_THEME_MAP,2,0))</formula1>
    </dataValidation>
    <dataValidation type="list" allowBlank="1" sqref="G24:G33" xr:uid="{00000000-0002-0000-0300-000000000000}">
      <formula1>"✅ OUI,❌ NON"</formula1>
      <formula2>0</formula2>
    </dataValidation>
  </dataValidation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pageSetUpPr fitToPage="1"/>
  </sheetPr>
  <dimension ref="A1:H40"/>
  <sheetViews>
    <sheetView zoomScaleNormal="100" workbookViewId="0">
      <pane ySplit="3" topLeftCell="A17" activePane="bottomLeft" state="frozen"/>
      <selection pane="bottomLeft" activeCell="H24" sqref="H24"/>
    </sheetView>
  </sheetViews>
  <sheetFormatPr baseColWidth="10" defaultColWidth="8.5703125" defaultRowHeight="15" x14ac:dyDescent="0.25"/>
  <cols>
    <col min="1" max="1" width="5.42578125" customWidth="1"/>
    <col min="2" max="2" width="28.5703125" customWidth="1"/>
    <col min="3" max="3" width="30" customWidth="1"/>
    <col min="4" max="4" width="32" customWidth="1"/>
    <col min="5" max="5" width="13" customWidth="1"/>
    <col min="6" max="6" width="14" customWidth="1"/>
    <col min="7" max="7" width="20" customWidth="1"/>
    <col min="8" max="8" width="30" customWidth="1"/>
  </cols>
  <sheetData>
    <row r="1" spans="1:8" ht="30" customHeight="1" x14ac:dyDescent="0.25">
      <c r="A1" s="220" t="s">
        <v>19</v>
      </c>
      <c r="B1" s="220"/>
      <c r="C1" s="220"/>
      <c r="D1" s="220"/>
      <c r="E1" s="220"/>
      <c r="F1" s="220"/>
      <c r="G1" s="220"/>
      <c r="H1" s="220"/>
    </row>
    <row r="2" spans="1:8" ht="21.75" customHeight="1" x14ac:dyDescent="0.25">
      <c r="A2" s="240" t="s">
        <v>228</v>
      </c>
      <c r="B2" s="240"/>
      <c r="C2" s="240"/>
      <c r="D2" s="240"/>
      <c r="E2" s="240"/>
      <c r="F2" s="241"/>
      <c r="G2" s="241"/>
      <c r="H2" s="241"/>
    </row>
    <row r="4" spans="1:8" ht="19.5" customHeight="1" x14ac:dyDescent="0.25">
      <c r="A4" s="240" t="s">
        <v>21</v>
      </c>
      <c r="B4" s="240"/>
      <c r="C4" s="240"/>
      <c r="D4" s="240"/>
      <c r="E4" s="240"/>
      <c r="F4" s="240"/>
      <c r="G4" s="240"/>
      <c r="H4" s="240"/>
    </row>
    <row r="5" spans="1:8" ht="18" customHeight="1" x14ac:dyDescent="0.25">
      <c r="A5" s="3" t="s">
        <v>22</v>
      </c>
      <c r="B5" s="3"/>
      <c r="C5" s="242" t="s">
        <v>23</v>
      </c>
      <c r="D5" s="242"/>
      <c r="E5" s="242" t="s">
        <v>24</v>
      </c>
      <c r="F5" s="242"/>
      <c r="G5" s="242" t="s">
        <v>25</v>
      </c>
      <c r="H5" s="242"/>
    </row>
    <row r="6" spans="1:8" ht="21.75" customHeight="1" x14ac:dyDescent="0.25">
      <c r="A6" s="5" t="s">
        <v>229</v>
      </c>
      <c r="B6" s="174"/>
      <c r="C6" s="235" t="s">
        <v>230</v>
      </c>
      <c r="D6" s="235"/>
      <c r="E6" s="236" t="s">
        <v>231</v>
      </c>
      <c r="F6" s="236"/>
      <c r="G6" s="237">
        <v>46174</v>
      </c>
      <c r="H6" s="237"/>
    </row>
    <row r="8" spans="1:8" ht="21.75" customHeight="1" x14ac:dyDescent="0.25">
      <c r="A8" s="238" t="s">
        <v>27</v>
      </c>
      <c r="B8" s="238"/>
      <c r="C8" s="238"/>
      <c r="D8" s="238"/>
      <c r="E8" s="238"/>
      <c r="F8" s="238"/>
      <c r="G8" s="238"/>
      <c r="H8" s="238"/>
    </row>
    <row r="9" spans="1:8" ht="15.75" customHeight="1" x14ac:dyDescent="0.25">
      <c r="A9" s="239" t="s">
        <v>28</v>
      </c>
      <c r="B9" s="239"/>
      <c r="C9" s="239"/>
      <c r="D9" s="239"/>
      <c r="E9" s="239"/>
      <c r="F9" s="239"/>
      <c r="G9" s="239"/>
      <c r="H9" s="239"/>
    </row>
    <row r="10" spans="1:8" ht="30" customHeight="1" x14ac:dyDescent="0.25">
      <c r="A10" s="2" t="s">
        <v>29</v>
      </c>
      <c r="B10" s="176" t="s">
        <v>30</v>
      </c>
      <c r="C10" s="176" t="s">
        <v>31</v>
      </c>
      <c r="D10" s="2" t="s">
        <v>32</v>
      </c>
      <c r="E10" s="2" t="s">
        <v>33</v>
      </c>
      <c r="F10" s="2" t="s">
        <v>34</v>
      </c>
      <c r="G10" s="226" t="s">
        <v>35</v>
      </c>
      <c r="H10" s="226"/>
    </row>
    <row r="11" spans="1:8" ht="36" customHeight="1" x14ac:dyDescent="0.25">
      <c r="A11" s="6">
        <v>3</v>
      </c>
      <c r="B11" s="177"/>
      <c r="C11" s="1"/>
      <c r="D11" s="1"/>
      <c r="E11" s="1"/>
      <c r="F11" s="1"/>
      <c r="G11" s="243"/>
      <c r="H11" s="243"/>
    </row>
    <row r="12" spans="1:8" ht="36" customHeight="1" x14ac:dyDescent="0.25">
      <c r="A12" s="6">
        <v>4</v>
      </c>
      <c r="B12" s="177"/>
      <c r="C12" s="1"/>
      <c r="D12" s="1"/>
      <c r="E12" s="1"/>
      <c r="F12" s="1"/>
      <c r="G12" s="243"/>
      <c r="H12" s="243"/>
    </row>
    <row r="13" spans="1:8" ht="36" customHeight="1" x14ac:dyDescent="0.25">
      <c r="A13" s="6">
        <v>5</v>
      </c>
      <c r="B13" s="177"/>
      <c r="C13" s="1"/>
      <c r="D13" s="1"/>
      <c r="E13" s="1"/>
      <c r="F13" s="1"/>
      <c r="G13" s="243"/>
      <c r="H13" s="243"/>
    </row>
    <row r="14" spans="1:8" ht="36" customHeight="1" x14ac:dyDescent="0.25">
      <c r="A14" s="6">
        <v>6</v>
      </c>
      <c r="B14" s="177"/>
      <c r="C14" s="1"/>
      <c r="D14" s="1"/>
      <c r="E14" s="1"/>
      <c r="F14" s="1"/>
      <c r="G14" s="243"/>
      <c r="H14" s="243"/>
    </row>
    <row r="15" spans="1:8" ht="36" customHeight="1" x14ac:dyDescent="0.25">
      <c r="A15" s="6">
        <v>7</v>
      </c>
      <c r="B15" s="177"/>
      <c r="C15" s="1"/>
      <c r="D15" s="1"/>
      <c r="E15" s="1"/>
      <c r="F15" s="1"/>
      <c r="G15" s="243"/>
      <c r="H15" s="243"/>
    </row>
    <row r="16" spans="1:8" ht="36" customHeight="1" x14ac:dyDescent="0.25">
      <c r="A16" s="6">
        <v>8</v>
      </c>
      <c r="B16" s="177"/>
      <c r="C16" s="1"/>
      <c r="D16" s="1"/>
      <c r="E16" s="1"/>
      <c r="F16" s="1"/>
      <c r="G16" s="243"/>
      <c r="H16" s="243"/>
    </row>
    <row r="17" spans="1:8" ht="12.75" customHeight="1" x14ac:dyDescent="0.25">
      <c r="A17" s="229" t="s">
        <v>69</v>
      </c>
      <c r="B17" s="229"/>
      <c r="C17" s="229"/>
      <c r="D17" s="229"/>
      <c r="E17" s="229"/>
      <c r="F17" s="229"/>
      <c r="G17" s="229"/>
      <c r="H17" s="229"/>
    </row>
    <row r="19" spans="1:8" ht="21.75" customHeight="1" x14ac:dyDescent="0.25">
      <c r="A19" s="227" t="s">
        <v>70</v>
      </c>
      <c r="B19" s="227"/>
      <c r="C19" s="227"/>
      <c r="D19" s="227"/>
      <c r="E19" s="227"/>
      <c r="F19" s="227"/>
      <c r="G19" s="227"/>
      <c r="H19" s="227"/>
    </row>
    <row r="20" spans="1:8" ht="15.75" customHeight="1" x14ac:dyDescent="0.25">
      <c r="A20" s="228" t="s">
        <v>71</v>
      </c>
      <c r="B20" s="228"/>
      <c r="C20" s="228"/>
      <c r="D20" s="228"/>
      <c r="E20" s="228"/>
      <c r="F20" s="228"/>
      <c r="G20" s="228"/>
      <c r="H20" s="228"/>
    </row>
    <row r="21" spans="1:8" ht="30" customHeight="1" x14ac:dyDescent="0.25">
      <c r="A21" s="2" t="s">
        <v>29</v>
      </c>
      <c r="B21" s="176" t="s">
        <v>30</v>
      </c>
      <c r="C21" s="176" t="s">
        <v>31</v>
      </c>
      <c r="D21" s="2" t="s">
        <v>32</v>
      </c>
      <c r="E21" s="2" t="s">
        <v>33</v>
      </c>
      <c r="F21" s="2" t="s">
        <v>72</v>
      </c>
      <c r="G21" s="2" t="s">
        <v>73</v>
      </c>
      <c r="H21" s="2" t="s">
        <v>74</v>
      </c>
    </row>
    <row r="22" spans="1:8" ht="102" x14ac:dyDescent="0.25">
      <c r="A22" s="6">
        <v>2</v>
      </c>
      <c r="B22" s="177" t="s">
        <v>232</v>
      </c>
      <c r="C22" s="1" t="s">
        <v>233</v>
      </c>
      <c r="D22" s="1" t="s">
        <v>234</v>
      </c>
      <c r="E22" s="1" t="s">
        <v>235</v>
      </c>
      <c r="F22" s="1" t="s">
        <v>236</v>
      </c>
      <c r="G22" s="1" t="s">
        <v>78</v>
      </c>
      <c r="H22" s="1"/>
    </row>
    <row r="23" spans="1:8" ht="104.25" customHeight="1" x14ac:dyDescent="0.25">
      <c r="A23" s="6">
        <v>3</v>
      </c>
      <c r="B23" s="177" t="s">
        <v>237</v>
      </c>
      <c r="C23" s="1" t="s">
        <v>238</v>
      </c>
      <c r="D23" s="1" t="s">
        <v>239</v>
      </c>
      <c r="E23" s="202" t="s">
        <v>240</v>
      </c>
      <c r="F23" s="1" t="s">
        <v>241</v>
      </c>
      <c r="G23" s="1" t="s">
        <v>78</v>
      </c>
      <c r="H23" s="1" t="s">
        <v>242</v>
      </c>
    </row>
    <row r="24" spans="1:8" ht="114.75" x14ac:dyDescent="0.25">
      <c r="A24" s="6">
        <v>4</v>
      </c>
      <c r="B24" s="177" t="s">
        <v>237</v>
      </c>
      <c r="C24" s="1" t="s">
        <v>238</v>
      </c>
      <c r="D24" s="1" t="s">
        <v>243</v>
      </c>
      <c r="E24" s="202" t="s">
        <v>244</v>
      </c>
      <c r="F24" s="1" t="s">
        <v>245</v>
      </c>
      <c r="G24" s="1" t="s">
        <v>78</v>
      </c>
      <c r="H24" s="1"/>
    </row>
    <row r="25" spans="1:8" ht="31.5" customHeight="1" x14ac:dyDescent="0.25">
      <c r="A25" s="6">
        <v>5</v>
      </c>
      <c r="B25" s="177"/>
      <c r="C25" s="1"/>
      <c r="D25" s="1"/>
      <c r="E25" s="1"/>
      <c r="F25" s="1"/>
      <c r="G25" s="1"/>
      <c r="H25" s="1"/>
    </row>
    <row r="26" spans="1:8" ht="31.5" customHeight="1" x14ac:dyDescent="0.25">
      <c r="A26" s="6">
        <v>6</v>
      </c>
      <c r="B26" s="177"/>
      <c r="C26" s="1"/>
      <c r="D26" s="1"/>
      <c r="E26" s="1"/>
      <c r="F26" s="1"/>
      <c r="G26" s="1"/>
      <c r="H26" s="1"/>
    </row>
    <row r="27" spans="1:8" ht="31.5" customHeight="1" x14ac:dyDescent="0.25">
      <c r="A27" s="6">
        <v>7</v>
      </c>
      <c r="B27" s="177"/>
      <c r="C27" s="1"/>
      <c r="D27" s="1"/>
      <c r="E27" s="1"/>
      <c r="F27" s="1"/>
      <c r="G27" s="1"/>
      <c r="H27" s="1"/>
    </row>
    <row r="28" spans="1:8" ht="31.5" customHeight="1" x14ac:dyDescent="0.25">
      <c r="A28" s="6">
        <v>8</v>
      </c>
      <c r="B28" s="177"/>
      <c r="C28" s="1"/>
      <c r="D28" s="1"/>
      <c r="E28" s="1"/>
      <c r="F28" s="1"/>
      <c r="G28" s="1"/>
      <c r="H28" s="1"/>
    </row>
    <row r="29" spans="1:8" ht="31.5" customHeight="1" x14ac:dyDescent="0.25">
      <c r="A29" s="6">
        <v>9</v>
      </c>
      <c r="B29" s="177"/>
      <c r="C29" s="1"/>
      <c r="D29" s="1"/>
      <c r="E29" s="1"/>
      <c r="F29" s="1"/>
      <c r="G29" s="1"/>
      <c r="H29" s="1"/>
    </row>
    <row r="30" spans="1:8" ht="31.5" customHeight="1" x14ac:dyDescent="0.25">
      <c r="A30" s="6">
        <v>10</v>
      </c>
      <c r="B30" s="177"/>
      <c r="C30" s="1"/>
      <c r="D30" s="1"/>
      <c r="E30" s="1"/>
      <c r="F30" s="1"/>
      <c r="G30" s="1"/>
      <c r="H30" s="1"/>
    </row>
    <row r="31" spans="1:8" ht="12.75" customHeight="1" x14ac:dyDescent="0.25">
      <c r="A31" s="229" t="s">
        <v>119</v>
      </c>
      <c r="B31" s="229"/>
      <c r="C31" s="229"/>
      <c r="D31" s="229"/>
      <c r="E31" s="229"/>
      <c r="F31" s="229"/>
      <c r="G31" s="229"/>
      <c r="H31" s="229"/>
    </row>
    <row r="33" spans="1:8" ht="21.75" customHeight="1" x14ac:dyDescent="0.25">
      <c r="A33" s="230" t="s">
        <v>120</v>
      </c>
      <c r="B33" s="230"/>
      <c r="C33" s="230"/>
      <c r="D33" s="230"/>
      <c r="E33" s="230"/>
      <c r="F33" s="230"/>
      <c r="G33" s="230"/>
      <c r="H33" s="230"/>
    </row>
    <row r="34" spans="1:8" ht="15.75" customHeight="1" x14ac:dyDescent="0.25">
      <c r="A34" s="231" t="s">
        <v>121</v>
      </c>
      <c r="B34" s="231"/>
      <c r="C34" s="231"/>
      <c r="D34" s="231"/>
      <c r="E34" s="231"/>
      <c r="F34" s="231"/>
      <c r="G34" s="231"/>
      <c r="H34" s="231"/>
    </row>
    <row r="35" spans="1:8" ht="30" customHeight="1" x14ac:dyDescent="0.25">
      <c r="A35" s="2" t="s">
        <v>29</v>
      </c>
      <c r="B35" s="176" t="s">
        <v>122</v>
      </c>
      <c r="C35" s="2" t="s">
        <v>123</v>
      </c>
      <c r="D35" s="2" t="s">
        <v>124</v>
      </c>
      <c r="E35" s="2" t="s">
        <v>125</v>
      </c>
      <c r="F35" s="2" t="s">
        <v>126</v>
      </c>
      <c r="G35" s="226"/>
      <c r="H35" s="226"/>
    </row>
    <row r="36" spans="1:8" ht="31.5" customHeight="1" x14ac:dyDescent="0.25">
      <c r="A36" s="6">
        <v>1</v>
      </c>
      <c r="B36" s="177"/>
      <c r="C36" s="181"/>
      <c r="D36" s="1"/>
      <c r="E36" s="1"/>
      <c r="F36" s="1"/>
      <c r="G36" s="209"/>
      <c r="H36" s="209"/>
    </row>
    <row r="37" spans="1:8" ht="31.5" customHeight="1" x14ac:dyDescent="0.25">
      <c r="A37" s="6">
        <v>2</v>
      </c>
      <c r="B37" s="177"/>
      <c r="C37" s="181"/>
      <c r="D37" s="1"/>
      <c r="E37" s="1"/>
      <c r="F37" s="1"/>
      <c r="G37" s="209"/>
      <c r="H37" s="209"/>
    </row>
    <row r="38" spans="1:8" ht="31.5" customHeight="1" x14ac:dyDescent="0.25">
      <c r="A38" s="6">
        <v>3</v>
      </c>
      <c r="B38" s="177"/>
      <c r="C38" s="181"/>
      <c r="D38" s="1"/>
      <c r="E38" s="1"/>
      <c r="F38" s="1"/>
      <c r="G38" s="209"/>
      <c r="H38" s="209"/>
    </row>
    <row r="39" spans="1:8" ht="31.5" customHeight="1" x14ac:dyDescent="0.25">
      <c r="A39" s="6">
        <v>4</v>
      </c>
      <c r="B39" s="177"/>
      <c r="C39" s="181"/>
      <c r="D39" s="1"/>
      <c r="E39" s="1"/>
      <c r="F39" s="1"/>
      <c r="G39" s="209"/>
      <c r="H39" s="209"/>
    </row>
    <row r="40" spans="1:8" ht="31.5" customHeight="1" x14ac:dyDescent="0.25">
      <c r="A40" s="6">
        <v>5</v>
      </c>
      <c r="B40" s="177"/>
      <c r="C40" s="181"/>
      <c r="D40" s="1"/>
      <c r="E40" s="1"/>
      <c r="F40" s="1"/>
      <c r="G40" s="209"/>
      <c r="H40" s="209"/>
    </row>
  </sheetData>
  <mergeCells count="31">
    <mergeCell ref="A1:H1"/>
    <mergeCell ref="A2:E2"/>
    <mergeCell ref="F2:H2"/>
    <mergeCell ref="A4:H4"/>
    <mergeCell ref="C5:D5"/>
    <mergeCell ref="E5:F5"/>
    <mergeCell ref="G5:H5"/>
    <mergeCell ref="C6:D6"/>
    <mergeCell ref="E6:F6"/>
    <mergeCell ref="G6:H6"/>
    <mergeCell ref="A8:H8"/>
    <mergeCell ref="A9:H9"/>
    <mergeCell ref="G10:H10"/>
    <mergeCell ref="G11:H11"/>
    <mergeCell ref="G12:H12"/>
    <mergeCell ref="G13:H13"/>
    <mergeCell ref="G14:H14"/>
    <mergeCell ref="G15:H15"/>
    <mergeCell ref="G16:H16"/>
    <mergeCell ref="A17:H17"/>
    <mergeCell ref="A19:H19"/>
    <mergeCell ref="A20:H20"/>
    <mergeCell ref="A31:H31"/>
    <mergeCell ref="A33:H33"/>
    <mergeCell ref="A34:H34"/>
    <mergeCell ref="G40:H40"/>
    <mergeCell ref="G35:H35"/>
    <mergeCell ref="G36:H36"/>
    <mergeCell ref="G37:H37"/>
    <mergeCell ref="G38:H38"/>
    <mergeCell ref="G39:H39"/>
  </mergeCells>
  <dataValidations count="6">
    <dataValidation type="list" allowBlank="1" sqref="E36:E40" xr:uid="{00000000-0002-0000-0400-000001000000}">
      <formula1>"🔴 Critique,🟠 Élevé,🟡 Modéré,🟢 Faible"</formula1>
      <formula2>0</formula2>
    </dataValidation>
    <dataValidation type="list" allowBlank="1" showInputMessage="1" promptTitle="N° Activité" prompt="Sélectionnez le numéro de l'activité AWP FY26" sqref="B22:B30 B11:B16" xr:uid="{0815C67E-B998-4761-817C-EB1DFDA72935}">
      <formula1>AWP_ACTIVITES</formula1>
    </dataValidation>
    <dataValidation type="list" allowBlank="1" showInputMessage="1" promptTitle="Libellé de la tâche" prompt="Sélectionnez d'abord le N° Activité en colonne B, puis choisissez la tâche" sqref="C22:C30 C11:C16" xr:uid="{12AD6F83-366B-4666-9082-6E4A143D28ED}">
      <formula1>INDIRECT("AWP_T_"&amp;SUBSTITUTE(SUBSTITUTE(B11,".","_"),"-","_"))</formula1>
    </dataValidation>
    <dataValidation type="list" allowBlank="1" showInputMessage="1" promptTitle="Thème" prompt="Sélectionnez le thème du point de vigilance" sqref="B36:B40" xr:uid="{59B05843-BD63-407C-9BDD-77388FB0EB0B}">
      <formula1>AWP_THEMES</formula1>
    </dataValidation>
    <dataValidation type="list" allowBlank="1" showInputMessage="1" promptTitle="Catégorie" prompt="Sélectionnez d'abord le Thème en colonne B, puis choisissez la catégorie" sqref="C36:C40" xr:uid="{396F8CDC-CA84-41DD-8CD2-6222FE0F3363}">
      <formula1>INDIRECT(VLOOKUP(B36,AWP_THEME_MAP,2,0))</formula1>
    </dataValidation>
    <dataValidation type="list" allowBlank="1" sqref="G22:G30" xr:uid="{00000000-0002-0000-0400-000000000000}">
      <formula1>"✅ OUI,❌ NON"</formula1>
      <formula2>0</formula2>
    </dataValidation>
  </dataValidation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pageSetUpPr fitToPage="1"/>
  </sheetPr>
  <dimension ref="A1:H42"/>
  <sheetViews>
    <sheetView zoomScaleNormal="100" workbookViewId="0">
      <pane ySplit="3" topLeftCell="A14" activePane="bottomLeft" state="frozen"/>
      <selection pane="bottomLeft" activeCell="F26" sqref="F26"/>
    </sheetView>
  </sheetViews>
  <sheetFormatPr baseColWidth="10" defaultColWidth="8.5703125" defaultRowHeight="15" x14ac:dyDescent="0.25"/>
  <cols>
    <col min="1" max="1" width="5.5703125" customWidth="1"/>
    <col min="2" max="2" width="28.5703125" customWidth="1"/>
    <col min="3" max="3" width="30" customWidth="1"/>
    <col min="4" max="4" width="32" customWidth="1"/>
    <col min="5" max="5" width="13" customWidth="1"/>
    <col min="6" max="6" width="14" customWidth="1"/>
    <col min="7" max="7" width="20" customWidth="1"/>
    <col min="8" max="8" width="30" customWidth="1"/>
  </cols>
  <sheetData>
    <row r="1" spans="1:8" ht="30" customHeight="1" x14ac:dyDescent="0.25">
      <c r="A1" s="220" t="s">
        <v>19</v>
      </c>
      <c r="B1" s="220"/>
      <c r="C1" s="220"/>
      <c r="D1" s="220"/>
      <c r="E1" s="220"/>
      <c r="F1" s="220"/>
      <c r="G1" s="220"/>
      <c r="H1" s="220"/>
    </row>
    <row r="2" spans="1:8" ht="21.75" customHeight="1" x14ac:dyDescent="0.25">
      <c r="A2" s="240" t="s">
        <v>246</v>
      </c>
      <c r="B2" s="240"/>
      <c r="C2" s="240"/>
      <c r="D2" s="240"/>
      <c r="E2" s="240"/>
      <c r="F2" s="241"/>
      <c r="G2" s="241"/>
      <c r="H2" s="241"/>
    </row>
    <row r="4" spans="1:8" ht="19.5" customHeight="1" x14ac:dyDescent="0.25">
      <c r="A4" s="240" t="s">
        <v>21</v>
      </c>
      <c r="B4" s="240"/>
      <c r="C4" s="240"/>
      <c r="D4" s="240"/>
      <c r="E4" s="240"/>
      <c r="F4" s="240"/>
      <c r="G4" s="240"/>
      <c r="H4" s="240"/>
    </row>
    <row r="5" spans="1:8" ht="18" customHeight="1" x14ac:dyDescent="0.25">
      <c r="A5" s="3" t="s">
        <v>22</v>
      </c>
      <c r="B5" s="3"/>
      <c r="C5" s="242" t="s">
        <v>23</v>
      </c>
      <c r="D5" s="242"/>
      <c r="E5" s="242" t="s">
        <v>24</v>
      </c>
      <c r="F5" s="242"/>
      <c r="G5" s="242" t="s">
        <v>25</v>
      </c>
      <c r="H5" s="242"/>
    </row>
    <row r="6" spans="1:8" ht="21.75" customHeight="1" x14ac:dyDescent="0.25">
      <c r="A6" s="5" t="s">
        <v>247</v>
      </c>
      <c r="B6" s="174"/>
      <c r="C6" s="235" t="s">
        <v>248</v>
      </c>
      <c r="D6" s="235"/>
      <c r="E6" s="236" t="str">
        <f>SE!E6</f>
        <v>Du 25/05 au 29/05/2026</v>
      </c>
      <c r="F6" s="236"/>
      <c r="G6" s="237">
        <f>SE!G6</f>
        <v>46174</v>
      </c>
      <c r="H6" s="236"/>
    </row>
    <row r="8" spans="1:8" ht="21.75" customHeight="1" x14ac:dyDescent="0.25">
      <c r="A8" s="238" t="s">
        <v>27</v>
      </c>
      <c r="B8" s="238"/>
      <c r="C8" s="238"/>
      <c r="D8" s="238"/>
      <c r="E8" s="238"/>
      <c r="F8" s="238"/>
      <c r="G8" s="238"/>
      <c r="H8" s="238"/>
    </row>
    <row r="9" spans="1:8" ht="15.75" customHeight="1" x14ac:dyDescent="0.25">
      <c r="A9" s="239" t="s">
        <v>28</v>
      </c>
      <c r="B9" s="239"/>
      <c r="C9" s="239"/>
      <c r="D9" s="239"/>
      <c r="E9" s="239"/>
      <c r="F9" s="239"/>
      <c r="G9" s="239"/>
      <c r="H9" s="239"/>
    </row>
    <row r="10" spans="1:8" ht="30" customHeight="1" x14ac:dyDescent="0.25">
      <c r="A10" s="2" t="s">
        <v>29</v>
      </c>
      <c r="B10" s="176" t="s">
        <v>30</v>
      </c>
      <c r="C10" s="176" t="s">
        <v>31</v>
      </c>
      <c r="D10" s="2" t="s">
        <v>32</v>
      </c>
      <c r="E10" s="2" t="s">
        <v>33</v>
      </c>
      <c r="F10" s="2" t="s">
        <v>34</v>
      </c>
      <c r="G10" s="226" t="s">
        <v>35</v>
      </c>
      <c r="H10" s="226"/>
    </row>
    <row r="11" spans="1:8" ht="36" customHeight="1" x14ac:dyDescent="0.25">
      <c r="A11" s="6">
        <v>1</v>
      </c>
      <c r="B11" s="177"/>
      <c r="C11" s="1"/>
      <c r="D11" s="1"/>
      <c r="E11" s="1"/>
      <c r="F11" s="1"/>
      <c r="G11" s="243"/>
      <c r="H11" s="243"/>
    </row>
    <row r="12" spans="1:8" ht="36" customHeight="1" x14ac:dyDescent="0.25">
      <c r="A12" s="6">
        <v>2</v>
      </c>
      <c r="B12" s="177"/>
      <c r="C12" s="1"/>
      <c r="D12" s="1"/>
      <c r="E12" s="1"/>
      <c r="F12" s="1"/>
      <c r="G12" s="243"/>
      <c r="H12" s="243"/>
    </row>
    <row r="13" spans="1:8" ht="36" customHeight="1" x14ac:dyDescent="0.25">
      <c r="A13" s="6">
        <v>3</v>
      </c>
      <c r="B13" s="177"/>
      <c r="C13" s="1"/>
      <c r="D13" s="1"/>
      <c r="E13" s="1"/>
      <c r="F13" s="1"/>
      <c r="G13" s="243"/>
      <c r="H13" s="243"/>
    </row>
    <row r="14" spans="1:8" ht="36" customHeight="1" x14ac:dyDescent="0.25">
      <c r="A14" s="6">
        <v>4</v>
      </c>
      <c r="B14" s="177"/>
      <c r="C14" s="1"/>
      <c r="D14" s="1"/>
      <c r="E14" s="1"/>
      <c r="F14" s="1"/>
      <c r="G14" s="243"/>
      <c r="H14" s="243"/>
    </row>
    <row r="15" spans="1:8" ht="36" customHeight="1" x14ac:dyDescent="0.25">
      <c r="A15" s="6">
        <v>5</v>
      </c>
      <c r="B15" s="177"/>
      <c r="C15" s="1"/>
      <c r="D15" s="1"/>
      <c r="E15" s="1"/>
      <c r="F15" s="1"/>
      <c r="G15" s="243"/>
      <c r="H15" s="243"/>
    </row>
    <row r="16" spans="1:8" ht="36" customHeight="1" x14ac:dyDescent="0.25">
      <c r="A16" s="6">
        <v>6</v>
      </c>
      <c r="B16" s="177"/>
      <c r="C16" s="1"/>
      <c r="D16" s="1"/>
      <c r="E16" s="1"/>
      <c r="F16" s="1"/>
      <c r="G16" s="243"/>
      <c r="H16" s="243"/>
    </row>
    <row r="17" spans="1:8" ht="36" customHeight="1" x14ac:dyDescent="0.25">
      <c r="A17" s="6">
        <v>7</v>
      </c>
      <c r="B17" s="177"/>
      <c r="C17" s="1"/>
      <c r="D17" s="1"/>
      <c r="E17" s="1"/>
      <c r="F17" s="1"/>
      <c r="G17" s="243"/>
      <c r="H17" s="243"/>
    </row>
    <row r="18" spans="1:8" ht="36" customHeight="1" x14ac:dyDescent="0.25">
      <c r="A18" s="6">
        <v>8</v>
      </c>
      <c r="B18" s="177"/>
      <c r="C18" s="1"/>
      <c r="D18" s="1"/>
      <c r="E18" s="1"/>
      <c r="F18" s="1"/>
      <c r="G18" s="243"/>
      <c r="H18" s="243"/>
    </row>
    <row r="19" spans="1:8" ht="12.75" customHeight="1" x14ac:dyDescent="0.25">
      <c r="A19" s="229" t="s">
        <v>69</v>
      </c>
      <c r="B19" s="229"/>
      <c r="C19" s="229"/>
      <c r="D19" s="229"/>
      <c r="E19" s="229"/>
      <c r="F19" s="229"/>
      <c r="G19" s="229"/>
      <c r="H19" s="229"/>
    </row>
    <row r="21" spans="1:8" ht="21.75" customHeight="1" x14ac:dyDescent="0.25">
      <c r="A21" s="227" t="s">
        <v>70</v>
      </c>
      <c r="B21" s="227"/>
      <c r="C21" s="227"/>
      <c r="D21" s="227"/>
      <c r="E21" s="227"/>
      <c r="F21" s="227"/>
      <c r="G21" s="227"/>
      <c r="H21" s="227"/>
    </row>
    <row r="22" spans="1:8" ht="15.75" customHeight="1" x14ac:dyDescent="0.25">
      <c r="A22" s="228" t="s">
        <v>71</v>
      </c>
      <c r="B22" s="228"/>
      <c r="C22" s="228"/>
      <c r="D22" s="228"/>
      <c r="E22" s="228"/>
      <c r="F22" s="228"/>
      <c r="G22" s="228"/>
      <c r="H22" s="228"/>
    </row>
    <row r="23" spans="1:8" ht="30" customHeight="1" x14ac:dyDescent="0.25">
      <c r="A23" s="2" t="s">
        <v>29</v>
      </c>
      <c r="B23" s="176" t="s">
        <v>30</v>
      </c>
      <c r="C23" s="176" t="s">
        <v>31</v>
      </c>
      <c r="D23" s="2" t="s">
        <v>32</v>
      </c>
      <c r="E23" s="2" t="s">
        <v>33</v>
      </c>
      <c r="F23" s="2" t="s">
        <v>72</v>
      </c>
      <c r="G23" s="2" t="s">
        <v>73</v>
      </c>
      <c r="H23" s="2" t="s">
        <v>74</v>
      </c>
    </row>
    <row r="24" spans="1:8" ht="31.5" customHeight="1" x14ac:dyDescent="0.25">
      <c r="A24" s="6">
        <v>4</v>
      </c>
      <c r="B24" s="177" t="s">
        <v>249</v>
      </c>
      <c r="C24" s="1" t="s">
        <v>250</v>
      </c>
      <c r="D24" s="1" t="s">
        <v>251</v>
      </c>
      <c r="E24" s="1"/>
      <c r="F24" s="1" t="s">
        <v>266</v>
      </c>
      <c r="G24" s="1" t="s">
        <v>78</v>
      </c>
      <c r="H24" s="1"/>
    </row>
    <row r="25" spans="1:8" ht="31.5" customHeight="1" x14ac:dyDescent="0.25">
      <c r="A25" s="6">
        <v>5</v>
      </c>
      <c r="B25" s="177" t="s">
        <v>252</v>
      </c>
      <c r="C25" s="1" t="s">
        <v>253</v>
      </c>
      <c r="D25" s="1" t="s">
        <v>254</v>
      </c>
      <c r="E25" s="1"/>
      <c r="F25" s="1" t="s">
        <v>266</v>
      </c>
      <c r="G25" s="1" t="s">
        <v>78</v>
      </c>
      <c r="H25" s="1" t="s">
        <v>255</v>
      </c>
    </row>
    <row r="26" spans="1:8" ht="31.5" customHeight="1" x14ac:dyDescent="0.25">
      <c r="A26" s="6">
        <v>6</v>
      </c>
      <c r="B26" s="177" t="s">
        <v>256</v>
      </c>
      <c r="C26" s="1" t="s">
        <v>257</v>
      </c>
      <c r="D26" s="1" t="s">
        <v>258</v>
      </c>
      <c r="E26" s="1" t="s">
        <v>259</v>
      </c>
      <c r="F26" s="1" t="s">
        <v>260</v>
      </c>
      <c r="G26" s="1" t="s">
        <v>78</v>
      </c>
      <c r="H26" s="1"/>
    </row>
    <row r="27" spans="1:8" ht="31.5" customHeight="1" x14ac:dyDescent="0.25">
      <c r="A27" s="6">
        <v>7</v>
      </c>
      <c r="B27" s="177" t="s">
        <v>256</v>
      </c>
      <c r="C27" s="1" t="s">
        <v>261</v>
      </c>
      <c r="D27" s="1" t="s">
        <v>262</v>
      </c>
      <c r="E27" s="1"/>
      <c r="F27" s="1" t="s">
        <v>263</v>
      </c>
      <c r="G27" s="1" t="s">
        <v>78</v>
      </c>
      <c r="H27" s="1"/>
    </row>
    <row r="28" spans="1:8" ht="31.5" customHeight="1" x14ac:dyDescent="0.25">
      <c r="A28" s="6">
        <v>8</v>
      </c>
      <c r="B28" s="177" t="s">
        <v>264</v>
      </c>
      <c r="C28" s="1" t="s">
        <v>265</v>
      </c>
      <c r="D28" s="1" t="s">
        <v>2089</v>
      </c>
      <c r="E28" s="1"/>
      <c r="F28" s="1" t="s">
        <v>266</v>
      </c>
      <c r="G28" s="1" t="s">
        <v>78</v>
      </c>
      <c r="H28" s="1"/>
    </row>
    <row r="29" spans="1:8" ht="31.5" customHeight="1" x14ac:dyDescent="0.25">
      <c r="A29" s="6">
        <v>9</v>
      </c>
      <c r="B29" s="177"/>
      <c r="C29" s="1"/>
      <c r="D29" s="1"/>
      <c r="E29" s="1"/>
      <c r="F29" s="1"/>
      <c r="G29" s="1"/>
      <c r="H29" s="1"/>
    </row>
    <row r="30" spans="1:8" ht="31.5" customHeight="1" x14ac:dyDescent="0.25">
      <c r="A30" s="6">
        <v>10</v>
      </c>
      <c r="B30" s="177"/>
      <c r="C30" s="1"/>
      <c r="D30" s="1"/>
      <c r="E30" s="1"/>
      <c r="F30" s="1"/>
      <c r="G30" s="1"/>
      <c r="H30" s="1"/>
    </row>
    <row r="31" spans="1:8" ht="12.75" customHeight="1" x14ac:dyDescent="0.25">
      <c r="A31" s="229" t="s">
        <v>119</v>
      </c>
      <c r="B31" s="229"/>
      <c r="C31" s="229"/>
      <c r="D31" s="229"/>
      <c r="E31" s="229"/>
      <c r="F31" s="229"/>
      <c r="G31" s="229"/>
      <c r="H31" s="229"/>
    </row>
    <row r="33" spans="1:8" ht="21.75" customHeight="1" x14ac:dyDescent="0.25">
      <c r="A33" s="230" t="s">
        <v>120</v>
      </c>
      <c r="B33" s="230"/>
      <c r="C33" s="230"/>
      <c r="D33" s="230"/>
      <c r="E33" s="230"/>
      <c r="F33" s="230"/>
      <c r="G33" s="230"/>
      <c r="H33" s="230"/>
    </row>
    <row r="34" spans="1:8" ht="15.75" customHeight="1" x14ac:dyDescent="0.25">
      <c r="A34" s="231" t="s">
        <v>121</v>
      </c>
      <c r="B34" s="231"/>
      <c r="C34" s="231"/>
      <c r="D34" s="231"/>
      <c r="E34" s="231"/>
      <c r="F34" s="231"/>
      <c r="G34" s="231"/>
      <c r="H34" s="231"/>
    </row>
    <row r="35" spans="1:8" ht="30" customHeight="1" x14ac:dyDescent="0.25">
      <c r="A35" s="2" t="s">
        <v>29</v>
      </c>
      <c r="B35" s="176" t="s">
        <v>122</v>
      </c>
      <c r="C35" s="2" t="s">
        <v>123</v>
      </c>
      <c r="D35" s="2" t="s">
        <v>124</v>
      </c>
      <c r="E35" s="2" t="s">
        <v>125</v>
      </c>
      <c r="F35" s="2" t="s">
        <v>126</v>
      </c>
      <c r="G35" s="226"/>
      <c r="H35" s="226"/>
    </row>
    <row r="36" spans="1:8" ht="31.5" customHeight="1" x14ac:dyDescent="0.25">
      <c r="A36" s="6">
        <v>1</v>
      </c>
      <c r="B36" s="177"/>
      <c r="C36" s="181"/>
      <c r="D36" s="1"/>
      <c r="E36" s="1"/>
      <c r="F36" s="1"/>
      <c r="G36" s="209"/>
      <c r="H36" s="209"/>
    </row>
    <row r="37" spans="1:8" ht="31.5" customHeight="1" x14ac:dyDescent="0.25">
      <c r="A37" s="6">
        <v>2</v>
      </c>
      <c r="B37" s="177"/>
      <c r="C37" s="181"/>
      <c r="D37" s="1"/>
      <c r="E37" s="1"/>
      <c r="F37" s="1"/>
      <c r="G37" s="209"/>
      <c r="H37" s="209"/>
    </row>
    <row r="38" spans="1:8" ht="31.5" customHeight="1" x14ac:dyDescent="0.25">
      <c r="A38" s="6">
        <v>3</v>
      </c>
      <c r="B38" s="177"/>
      <c r="C38" s="181"/>
      <c r="D38" s="1"/>
      <c r="E38" s="1"/>
      <c r="F38" s="1"/>
      <c r="G38" s="209"/>
      <c r="H38" s="209"/>
    </row>
    <row r="39" spans="1:8" ht="31.5" customHeight="1" x14ac:dyDescent="0.25">
      <c r="A39" s="6">
        <v>4</v>
      </c>
      <c r="B39" s="177"/>
      <c r="C39" s="181"/>
      <c r="D39" s="1"/>
      <c r="E39" s="1"/>
      <c r="F39" s="1"/>
      <c r="G39" s="209"/>
      <c r="H39" s="209"/>
    </row>
    <row r="40" spans="1:8" ht="31.5" customHeight="1" x14ac:dyDescent="0.25">
      <c r="A40" s="6">
        <v>5</v>
      </c>
      <c r="B40" s="177"/>
      <c r="C40" s="181"/>
      <c r="D40" s="1"/>
      <c r="E40" s="1"/>
      <c r="F40" s="1"/>
      <c r="G40" s="209"/>
      <c r="H40" s="209"/>
    </row>
    <row r="42" spans="1:8" ht="15.75" customHeight="1" x14ac:dyDescent="0.25">
      <c r="A42" s="244" t="s">
        <v>227</v>
      </c>
      <c r="B42" s="244"/>
      <c r="C42" s="244"/>
      <c r="D42" s="244"/>
      <c r="E42" s="244"/>
      <c r="F42" s="244"/>
      <c r="G42" s="244"/>
      <c r="H42" s="244"/>
    </row>
  </sheetData>
  <mergeCells count="34">
    <mergeCell ref="A1:H1"/>
    <mergeCell ref="A2:E2"/>
    <mergeCell ref="F2:H2"/>
    <mergeCell ref="A4:H4"/>
    <mergeCell ref="C5:D5"/>
    <mergeCell ref="E5:F5"/>
    <mergeCell ref="G5:H5"/>
    <mergeCell ref="C6:D6"/>
    <mergeCell ref="E6:F6"/>
    <mergeCell ref="G6:H6"/>
    <mergeCell ref="A8:H8"/>
    <mergeCell ref="A9:H9"/>
    <mergeCell ref="G10:H10"/>
    <mergeCell ref="G11:H11"/>
    <mergeCell ref="G12:H12"/>
    <mergeCell ref="G13:H13"/>
    <mergeCell ref="G14:H14"/>
    <mergeCell ref="G15:H15"/>
    <mergeCell ref="G16:H16"/>
    <mergeCell ref="G17:H17"/>
    <mergeCell ref="G18:H18"/>
    <mergeCell ref="A19:H19"/>
    <mergeCell ref="A21:H21"/>
    <mergeCell ref="A22:H22"/>
    <mergeCell ref="A31:H31"/>
    <mergeCell ref="A33:H33"/>
    <mergeCell ref="A34:H34"/>
    <mergeCell ref="G40:H40"/>
    <mergeCell ref="A42:H42"/>
    <mergeCell ref="G35:H35"/>
    <mergeCell ref="G36:H36"/>
    <mergeCell ref="G37:H37"/>
    <mergeCell ref="G38:H38"/>
    <mergeCell ref="G39:H39"/>
  </mergeCells>
  <dataValidations count="6">
    <dataValidation type="list" allowBlank="1" sqref="E36:E40" xr:uid="{00000000-0002-0000-0500-000001000000}">
      <formula1>"🔴 Critique,🟠 Élevé,🟡 Modéré,🟢 Faible"</formula1>
      <formula2>0</formula2>
    </dataValidation>
    <dataValidation type="list" allowBlank="1" showInputMessage="1" promptTitle="N° Activité" prompt="Sélectionnez le numéro de l'activité AWP FY26" sqref="B12:B18 B24:B30" xr:uid="{575FF288-8130-4594-9DA3-5684F2A15F29}">
      <formula1>AWP_ACTIVITES</formula1>
    </dataValidation>
    <dataValidation type="list" allowBlank="1" showInputMessage="1" promptTitle="Libellé de la tâche" prompt="Sélectionnez d'abord le N° Activité en colonne B, puis choisissez la tâche" sqref="C11:C18 C24:C30" xr:uid="{1F2588B5-7F1F-4EFB-88C9-4D8F647E7CB5}">
      <formula1>INDIRECT("AWP_T_"&amp;SUBSTITUTE(SUBSTITUTE(B11,".","_"),"-","_"))</formula1>
    </dataValidation>
    <dataValidation type="list" allowBlank="1" showInputMessage="1" promptTitle="Thème" prompt="Sélectionnez le thème du point de vigilance" sqref="B36:B40" xr:uid="{B2AB6FC0-5226-4CE9-B9EA-195F134749DF}">
      <formula1>AWP_THEMES</formula1>
    </dataValidation>
    <dataValidation type="list" allowBlank="1" showInputMessage="1" promptTitle="Catégorie" prompt="Sélectionnez d'abord le Thème en colonne B, puis choisissez la catégorie" sqref="C36:C40" xr:uid="{2AD825C5-E76F-472A-8227-9E29FFA605C9}">
      <formula1>INDIRECT(VLOOKUP(B36,AWP_THEME_MAP,2,0))</formula1>
    </dataValidation>
    <dataValidation type="list" allowBlank="1" sqref="G24:G30" xr:uid="{00000000-0002-0000-0500-000000000000}">
      <formula1>"✅ OUI,❌ NON"</formula1>
      <formula2>0</formula2>
    </dataValidation>
  </dataValidation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pageSetUpPr fitToPage="1"/>
  </sheetPr>
  <dimension ref="A1:H43"/>
  <sheetViews>
    <sheetView zoomScaleNormal="100" workbookViewId="0">
      <pane ySplit="3" topLeftCell="A31" activePane="bottomLeft" state="frozen"/>
      <selection pane="bottomLeft" activeCell="B6" sqref="B6"/>
    </sheetView>
  </sheetViews>
  <sheetFormatPr baseColWidth="10" defaultColWidth="8.5703125" defaultRowHeight="15" x14ac:dyDescent="0.25"/>
  <cols>
    <col min="1" max="1" width="5.42578125" customWidth="1"/>
    <col min="2" max="2" width="28.5703125" customWidth="1"/>
    <col min="3" max="3" width="30" customWidth="1"/>
    <col min="4" max="4" width="32" customWidth="1"/>
    <col min="5" max="5" width="13" customWidth="1"/>
    <col min="6" max="6" width="14" customWidth="1"/>
    <col min="7" max="7" width="20" customWidth="1"/>
    <col min="8" max="8" width="30" customWidth="1"/>
  </cols>
  <sheetData>
    <row r="1" spans="1:8" ht="30" customHeight="1" x14ac:dyDescent="0.25">
      <c r="A1" s="220" t="s">
        <v>19</v>
      </c>
      <c r="B1" s="220"/>
      <c r="C1" s="220"/>
      <c r="D1" s="220"/>
      <c r="E1" s="220"/>
      <c r="F1" s="220"/>
      <c r="G1" s="220"/>
      <c r="H1" s="220"/>
    </row>
    <row r="2" spans="1:8" ht="21.75" customHeight="1" x14ac:dyDescent="0.25">
      <c r="A2" s="240" t="s">
        <v>267</v>
      </c>
      <c r="B2" s="240"/>
      <c r="C2" s="240"/>
      <c r="D2" s="240"/>
      <c r="E2" s="240"/>
      <c r="F2" s="241"/>
      <c r="G2" s="241"/>
      <c r="H2" s="241"/>
    </row>
    <row r="4" spans="1:8" ht="19.5" customHeight="1" x14ac:dyDescent="0.25">
      <c r="A4" s="240" t="s">
        <v>21</v>
      </c>
      <c r="B4" s="240"/>
      <c r="C4" s="240"/>
      <c r="D4" s="240"/>
      <c r="E4" s="240"/>
      <c r="F4" s="240"/>
      <c r="G4" s="240"/>
      <c r="H4" s="240"/>
    </row>
    <row r="5" spans="1:8" ht="18" customHeight="1" x14ac:dyDescent="0.25">
      <c r="A5" s="3" t="s">
        <v>268</v>
      </c>
      <c r="B5" s="3"/>
      <c r="C5" s="242" t="s">
        <v>23</v>
      </c>
      <c r="D5" s="242"/>
      <c r="E5" s="242" t="s">
        <v>24</v>
      </c>
      <c r="F5" s="242"/>
      <c r="G5" s="242" t="s">
        <v>25</v>
      </c>
      <c r="H5" s="242"/>
    </row>
    <row r="6" spans="1:8" ht="21.75" customHeight="1" x14ac:dyDescent="0.25">
      <c r="A6" s="15" t="s">
        <v>269</v>
      </c>
      <c r="B6" s="175"/>
      <c r="C6" s="235" t="s">
        <v>270</v>
      </c>
      <c r="D6" s="235"/>
      <c r="E6" s="236" t="s">
        <v>271</v>
      </c>
      <c r="F6" s="236"/>
      <c r="G6" s="237">
        <v>46168</v>
      </c>
      <c r="H6" s="236"/>
    </row>
    <row r="8" spans="1:8" ht="21.75" customHeight="1" x14ac:dyDescent="0.25">
      <c r="A8" s="238" t="s">
        <v>27</v>
      </c>
      <c r="B8" s="238"/>
      <c r="C8" s="238"/>
      <c r="D8" s="238"/>
      <c r="E8" s="238"/>
      <c r="F8" s="238"/>
      <c r="G8" s="238"/>
      <c r="H8" s="238"/>
    </row>
    <row r="9" spans="1:8" ht="15.75" customHeight="1" x14ac:dyDescent="0.25">
      <c r="A9" s="239" t="s">
        <v>28</v>
      </c>
      <c r="B9" s="239"/>
      <c r="C9" s="239"/>
      <c r="D9" s="239"/>
      <c r="E9" s="239"/>
      <c r="F9" s="239"/>
      <c r="G9" s="239"/>
      <c r="H9" s="239"/>
    </row>
    <row r="10" spans="1:8" ht="30" customHeight="1" x14ac:dyDescent="0.25">
      <c r="A10" s="2" t="s">
        <v>29</v>
      </c>
      <c r="B10" s="176" t="s">
        <v>30</v>
      </c>
      <c r="C10" s="176" t="s">
        <v>31</v>
      </c>
      <c r="D10" s="2" t="s">
        <v>32</v>
      </c>
      <c r="E10" s="2" t="s">
        <v>33</v>
      </c>
      <c r="F10" s="2" t="s">
        <v>34</v>
      </c>
      <c r="G10" s="226" t="s">
        <v>35</v>
      </c>
      <c r="H10" s="226"/>
    </row>
    <row r="11" spans="1:8" ht="54" customHeight="1" x14ac:dyDescent="0.25">
      <c r="A11" s="6">
        <v>1</v>
      </c>
      <c r="B11" s="177" t="s">
        <v>272</v>
      </c>
      <c r="C11" s="1" t="s">
        <v>273</v>
      </c>
      <c r="D11" s="1" t="s">
        <v>274</v>
      </c>
      <c r="E11" s="1" t="s">
        <v>186</v>
      </c>
      <c r="F11" s="185">
        <v>46164</v>
      </c>
      <c r="G11" s="243" t="s">
        <v>275</v>
      </c>
      <c r="H11" s="243"/>
    </row>
    <row r="12" spans="1:8" ht="46.9" customHeight="1" x14ac:dyDescent="0.25">
      <c r="A12" s="6">
        <v>2</v>
      </c>
      <c r="B12" s="177" t="s">
        <v>272</v>
      </c>
      <c r="C12" s="1" t="s">
        <v>276</v>
      </c>
      <c r="D12" s="1" t="s">
        <v>277</v>
      </c>
      <c r="E12" s="1" t="s">
        <v>186</v>
      </c>
      <c r="F12" s="185">
        <v>46164</v>
      </c>
      <c r="G12" s="243" t="s">
        <v>278</v>
      </c>
      <c r="H12" s="243"/>
    </row>
    <row r="13" spans="1:8" ht="56.45" customHeight="1" x14ac:dyDescent="0.25">
      <c r="A13" s="6">
        <v>3</v>
      </c>
      <c r="B13" s="177" t="s">
        <v>272</v>
      </c>
      <c r="C13" s="1" t="s">
        <v>279</v>
      </c>
      <c r="D13" s="1" t="s">
        <v>280</v>
      </c>
      <c r="E13" s="1" t="s">
        <v>186</v>
      </c>
      <c r="F13" s="185">
        <v>46155</v>
      </c>
      <c r="G13" s="243" t="s">
        <v>281</v>
      </c>
      <c r="H13" s="243"/>
    </row>
    <row r="14" spans="1:8" ht="43.9" customHeight="1" x14ac:dyDescent="0.25">
      <c r="A14" s="6">
        <v>4</v>
      </c>
      <c r="B14" s="177" t="s">
        <v>272</v>
      </c>
      <c r="C14" s="1" t="s">
        <v>282</v>
      </c>
      <c r="D14" s="1" t="s">
        <v>283</v>
      </c>
      <c r="E14" s="1" t="s">
        <v>186</v>
      </c>
      <c r="F14" s="185">
        <v>46164</v>
      </c>
      <c r="G14" s="243" t="s">
        <v>284</v>
      </c>
      <c r="H14" s="243"/>
    </row>
    <row r="15" spans="1:8" ht="36" customHeight="1" x14ac:dyDescent="0.25">
      <c r="A15" s="6">
        <v>5</v>
      </c>
      <c r="B15" s="177" t="s">
        <v>272</v>
      </c>
      <c r="C15" s="1" t="s">
        <v>285</v>
      </c>
      <c r="D15" s="1" t="s">
        <v>286</v>
      </c>
      <c r="E15" s="1" t="s">
        <v>186</v>
      </c>
      <c r="F15" s="185">
        <v>46162</v>
      </c>
      <c r="G15" s="243" t="s">
        <v>287</v>
      </c>
      <c r="H15" s="243"/>
    </row>
    <row r="16" spans="1:8" ht="36" customHeight="1" x14ac:dyDescent="0.25">
      <c r="A16" s="6">
        <v>6</v>
      </c>
      <c r="B16" s="177" t="s">
        <v>272</v>
      </c>
      <c r="C16" s="1" t="s">
        <v>285</v>
      </c>
      <c r="D16" s="1" t="s">
        <v>288</v>
      </c>
      <c r="E16" s="1" t="s">
        <v>186</v>
      </c>
      <c r="F16" s="185">
        <v>46162</v>
      </c>
      <c r="G16" s="243" t="s">
        <v>289</v>
      </c>
      <c r="H16" s="243"/>
    </row>
    <row r="17" spans="1:8" ht="36" customHeight="1" x14ac:dyDescent="0.25">
      <c r="A17" s="6">
        <v>7</v>
      </c>
      <c r="B17" s="177"/>
      <c r="C17" s="1"/>
      <c r="D17" s="1"/>
      <c r="E17" s="1"/>
      <c r="F17" s="1"/>
      <c r="G17" s="243"/>
      <c r="H17" s="243"/>
    </row>
    <row r="18" spans="1:8" ht="36" customHeight="1" x14ac:dyDescent="0.25">
      <c r="A18" s="6">
        <v>8</v>
      </c>
      <c r="B18" s="177"/>
      <c r="C18" s="1"/>
      <c r="D18" s="1"/>
      <c r="E18" s="1"/>
      <c r="F18" s="1"/>
      <c r="G18" s="243"/>
      <c r="H18" s="243"/>
    </row>
    <row r="19" spans="1:8" ht="12.75" customHeight="1" x14ac:dyDescent="0.25">
      <c r="A19" s="229" t="s">
        <v>69</v>
      </c>
      <c r="B19" s="229"/>
      <c r="C19" s="229"/>
      <c r="D19" s="229"/>
      <c r="E19" s="229"/>
      <c r="F19" s="229"/>
      <c r="G19" s="229"/>
      <c r="H19" s="229"/>
    </row>
    <row r="21" spans="1:8" ht="21.75" customHeight="1" x14ac:dyDescent="0.25">
      <c r="A21" s="227" t="s">
        <v>70</v>
      </c>
      <c r="B21" s="227"/>
      <c r="C21" s="227"/>
      <c r="D21" s="227"/>
      <c r="E21" s="227"/>
      <c r="F21" s="227"/>
      <c r="G21" s="227"/>
      <c r="H21" s="227"/>
    </row>
    <row r="22" spans="1:8" ht="15.75" customHeight="1" x14ac:dyDescent="0.25">
      <c r="A22" s="228" t="s">
        <v>71</v>
      </c>
      <c r="B22" s="228"/>
      <c r="C22" s="228"/>
      <c r="D22" s="228"/>
      <c r="E22" s="228"/>
      <c r="F22" s="228"/>
      <c r="G22" s="228"/>
      <c r="H22" s="228"/>
    </row>
    <row r="23" spans="1:8" ht="30" customHeight="1" x14ac:dyDescent="0.25">
      <c r="A23" s="2" t="s">
        <v>29</v>
      </c>
      <c r="B23" s="176" t="s">
        <v>30</v>
      </c>
      <c r="C23" s="176" t="s">
        <v>31</v>
      </c>
      <c r="D23" s="2" t="s">
        <v>32</v>
      </c>
      <c r="E23" s="2" t="s">
        <v>33</v>
      </c>
      <c r="F23" s="2" t="s">
        <v>72</v>
      </c>
      <c r="G23" s="2" t="s">
        <v>73</v>
      </c>
      <c r="H23" s="2" t="s">
        <v>74</v>
      </c>
    </row>
    <row r="24" spans="1:8" ht="39.6" customHeight="1" x14ac:dyDescent="0.25">
      <c r="A24" s="6">
        <v>1</v>
      </c>
      <c r="B24" s="177" t="s">
        <v>272</v>
      </c>
      <c r="C24" s="1" t="s">
        <v>285</v>
      </c>
      <c r="D24" s="1" t="s">
        <v>290</v>
      </c>
      <c r="E24" s="1" t="s">
        <v>291</v>
      </c>
      <c r="F24" s="185">
        <v>46164</v>
      </c>
      <c r="G24" s="1" t="s">
        <v>78</v>
      </c>
      <c r="H24" s="1" t="s">
        <v>292</v>
      </c>
    </row>
    <row r="25" spans="1:8" ht="25.5" x14ac:dyDescent="0.25">
      <c r="A25" s="6">
        <v>2</v>
      </c>
      <c r="B25" s="177" t="s">
        <v>272</v>
      </c>
      <c r="C25" s="1" t="s">
        <v>293</v>
      </c>
      <c r="D25" s="1" t="s">
        <v>294</v>
      </c>
      <c r="E25" s="1" t="s">
        <v>291</v>
      </c>
      <c r="F25" s="188">
        <v>46174</v>
      </c>
      <c r="G25" s="1" t="s">
        <v>78</v>
      </c>
      <c r="H25" s="1" t="s">
        <v>295</v>
      </c>
    </row>
    <row r="26" spans="1:8" ht="55.9" customHeight="1" x14ac:dyDescent="0.25">
      <c r="A26" s="6">
        <v>3</v>
      </c>
      <c r="B26" s="177" t="s">
        <v>272</v>
      </c>
      <c r="C26" s="1" t="s">
        <v>296</v>
      </c>
      <c r="D26" s="1" t="s">
        <v>297</v>
      </c>
      <c r="E26" s="1" t="s">
        <v>291</v>
      </c>
      <c r="F26" s="188">
        <v>46174</v>
      </c>
      <c r="G26" s="1" t="s">
        <v>78</v>
      </c>
      <c r="H26" s="1"/>
    </row>
    <row r="27" spans="1:8" x14ac:dyDescent="0.25">
      <c r="A27" s="6">
        <v>4</v>
      </c>
      <c r="B27" s="177"/>
      <c r="C27" s="1"/>
      <c r="D27" s="1"/>
      <c r="E27" s="1"/>
      <c r="F27" s="188"/>
      <c r="G27" s="1"/>
      <c r="H27" s="1"/>
    </row>
    <row r="28" spans="1:8" x14ac:dyDescent="0.25">
      <c r="A28" s="6">
        <v>5</v>
      </c>
      <c r="B28" s="177"/>
      <c r="C28" s="1"/>
      <c r="D28" s="1"/>
      <c r="E28" s="1"/>
      <c r="F28" s="188"/>
      <c r="G28" s="1"/>
      <c r="H28" s="1"/>
    </row>
    <row r="29" spans="1:8" ht="31.5" customHeight="1" x14ac:dyDescent="0.25">
      <c r="A29" s="6">
        <v>6</v>
      </c>
      <c r="B29" s="177"/>
      <c r="C29" s="1"/>
      <c r="D29" s="1"/>
      <c r="E29" s="1"/>
      <c r="F29" s="1"/>
      <c r="G29" s="1"/>
      <c r="H29" s="1"/>
    </row>
    <row r="30" spans="1:8" ht="31.5" customHeight="1" x14ac:dyDescent="0.25">
      <c r="A30" s="6">
        <v>7</v>
      </c>
      <c r="B30" s="177"/>
      <c r="C30" s="1"/>
      <c r="D30" s="1"/>
      <c r="E30" s="1"/>
      <c r="F30" s="1"/>
      <c r="G30" s="1"/>
      <c r="H30" s="1"/>
    </row>
    <row r="31" spans="1:8" ht="31.5" customHeight="1" x14ac:dyDescent="0.25">
      <c r="A31" s="6">
        <v>8</v>
      </c>
      <c r="B31" s="177"/>
      <c r="C31" s="1"/>
      <c r="D31" s="1"/>
      <c r="E31" s="1"/>
      <c r="F31" s="1"/>
      <c r="G31" s="1"/>
      <c r="H31" s="1"/>
    </row>
    <row r="32" spans="1:8" ht="31.5" customHeight="1" x14ac:dyDescent="0.25">
      <c r="A32" s="6">
        <v>9</v>
      </c>
      <c r="B32" s="177"/>
      <c r="C32" s="1"/>
      <c r="D32" s="1"/>
      <c r="E32" s="1"/>
      <c r="F32" s="1"/>
      <c r="G32" s="1"/>
      <c r="H32" s="1"/>
    </row>
    <row r="33" spans="1:8" ht="31.5" customHeight="1" x14ac:dyDescent="0.25">
      <c r="A33" s="6">
        <v>10</v>
      </c>
      <c r="B33" s="177"/>
      <c r="C33" s="1"/>
      <c r="D33" s="1"/>
      <c r="E33" s="1"/>
      <c r="F33" s="1"/>
      <c r="G33" s="1"/>
      <c r="H33" s="1"/>
    </row>
    <row r="34" spans="1:8" ht="12.75" customHeight="1" x14ac:dyDescent="0.25">
      <c r="A34" s="229" t="s">
        <v>119</v>
      </c>
      <c r="B34" s="229"/>
      <c r="C34" s="229"/>
      <c r="D34" s="229"/>
      <c r="E34" s="229"/>
      <c r="F34" s="229"/>
      <c r="G34" s="229"/>
      <c r="H34" s="229"/>
    </row>
    <row r="36" spans="1:8" ht="21.75" customHeight="1" x14ac:dyDescent="0.25">
      <c r="A36" s="230" t="s">
        <v>120</v>
      </c>
      <c r="B36" s="230"/>
      <c r="C36" s="230"/>
      <c r="D36" s="230"/>
      <c r="E36" s="230"/>
      <c r="F36" s="230"/>
      <c r="G36" s="230"/>
      <c r="H36" s="230"/>
    </row>
    <row r="37" spans="1:8" ht="15.75" customHeight="1" x14ac:dyDescent="0.25">
      <c r="A37" s="231" t="s">
        <v>121</v>
      </c>
      <c r="B37" s="231"/>
      <c r="C37" s="231"/>
      <c r="D37" s="231"/>
      <c r="E37" s="231"/>
      <c r="F37" s="231"/>
      <c r="G37" s="231"/>
      <c r="H37" s="231"/>
    </row>
    <row r="38" spans="1:8" ht="30" customHeight="1" x14ac:dyDescent="0.25">
      <c r="A38" s="2" t="s">
        <v>29</v>
      </c>
      <c r="B38" s="176" t="s">
        <v>122</v>
      </c>
      <c r="C38" s="2" t="s">
        <v>123</v>
      </c>
      <c r="D38" s="2" t="s">
        <v>124</v>
      </c>
      <c r="E38" s="2" t="s">
        <v>125</v>
      </c>
      <c r="F38" s="2" t="s">
        <v>126</v>
      </c>
      <c r="G38" s="226"/>
      <c r="H38" s="226"/>
    </row>
    <row r="39" spans="1:8" ht="31.5" customHeight="1" x14ac:dyDescent="0.25">
      <c r="A39" s="6">
        <v>1</v>
      </c>
      <c r="B39" s="177"/>
      <c r="C39" s="181"/>
      <c r="D39" s="1"/>
      <c r="E39" s="1"/>
      <c r="F39" s="1"/>
      <c r="G39" s="209"/>
      <c r="H39" s="209"/>
    </row>
    <row r="40" spans="1:8" ht="31.5" customHeight="1" x14ac:dyDescent="0.25">
      <c r="A40" s="6">
        <v>2</v>
      </c>
      <c r="B40" s="177"/>
      <c r="C40" s="181"/>
      <c r="D40" s="1"/>
      <c r="E40" s="1"/>
      <c r="F40" s="1"/>
      <c r="G40" s="209"/>
      <c r="H40" s="209"/>
    </row>
    <row r="41" spans="1:8" ht="31.5" customHeight="1" x14ac:dyDescent="0.25">
      <c r="A41" s="6">
        <v>3</v>
      </c>
      <c r="B41" s="177"/>
      <c r="C41" s="181"/>
      <c r="D41" s="1"/>
      <c r="E41" s="1"/>
      <c r="F41" s="1"/>
      <c r="G41" s="209"/>
      <c r="H41" s="209"/>
    </row>
    <row r="42" spans="1:8" ht="31.5" customHeight="1" x14ac:dyDescent="0.25">
      <c r="A42" s="6">
        <v>4</v>
      </c>
      <c r="B42" s="177"/>
      <c r="C42" s="181"/>
      <c r="D42" s="1"/>
      <c r="E42" s="1"/>
      <c r="F42" s="1"/>
      <c r="G42" s="209"/>
      <c r="H42" s="209"/>
    </row>
    <row r="43" spans="1:8" ht="31.5" customHeight="1" x14ac:dyDescent="0.25">
      <c r="A43" s="6">
        <v>5</v>
      </c>
      <c r="B43" s="177"/>
      <c r="C43" s="181"/>
      <c r="D43" s="1"/>
      <c r="E43" s="1"/>
      <c r="F43" s="1"/>
      <c r="G43" s="209"/>
      <c r="H43" s="209"/>
    </row>
  </sheetData>
  <mergeCells count="33">
    <mergeCell ref="A1:H1"/>
    <mergeCell ref="A2:E2"/>
    <mergeCell ref="F2:H2"/>
    <mergeCell ref="A4:H4"/>
    <mergeCell ref="C5:D5"/>
    <mergeCell ref="E5:F5"/>
    <mergeCell ref="G5:H5"/>
    <mergeCell ref="C6:D6"/>
    <mergeCell ref="E6:F6"/>
    <mergeCell ref="G6:H6"/>
    <mergeCell ref="A8:H8"/>
    <mergeCell ref="A9:H9"/>
    <mergeCell ref="G10:H10"/>
    <mergeCell ref="G11:H11"/>
    <mergeCell ref="G12:H12"/>
    <mergeCell ref="G13:H13"/>
    <mergeCell ref="G14:H14"/>
    <mergeCell ref="G15:H15"/>
    <mergeCell ref="G16:H16"/>
    <mergeCell ref="G17:H17"/>
    <mergeCell ref="G18:H18"/>
    <mergeCell ref="A19:H19"/>
    <mergeCell ref="A21:H21"/>
    <mergeCell ref="A22:H22"/>
    <mergeCell ref="A34:H34"/>
    <mergeCell ref="A36:H36"/>
    <mergeCell ref="A37:H37"/>
    <mergeCell ref="G43:H43"/>
    <mergeCell ref="G38:H38"/>
    <mergeCell ref="G39:H39"/>
    <mergeCell ref="G40:H40"/>
    <mergeCell ref="G41:H41"/>
    <mergeCell ref="G42:H42"/>
  </mergeCells>
  <dataValidations count="6">
    <dataValidation type="list" allowBlank="1" sqref="G24:G33" xr:uid="{00000000-0002-0000-0600-000000000000}">
      <formula1>"✅ OUI,❌ NON"</formula1>
      <formula2>0</formula2>
    </dataValidation>
    <dataValidation type="list" allowBlank="1" sqref="E39:E43" xr:uid="{00000000-0002-0000-0600-000001000000}">
      <formula1>"🔴 Critique,🟠 Élevé,🟡 Modéré,🟢 Faible"</formula1>
      <formula2>0</formula2>
    </dataValidation>
    <dataValidation type="list" allowBlank="1" showInputMessage="1" promptTitle="N° Activité" prompt="Sélectionnez le numéro de l'activité AWP FY26" sqref="B24:B33 B11:B18" xr:uid="{6F230624-ABCD-419D-B9D0-564F55719A7C}">
      <formula1>AWP_ACTIVITES</formula1>
    </dataValidation>
    <dataValidation type="list" allowBlank="1" showInputMessage="1" promptTitle="Libellé de la tâche" prompt="Sélectionnez d'abord le N° Activité en colonne B, puis choisissez la tâche" sqref="C24:C33 C11:C18" xr:uid="{E4A98B06-E291-49BB-8086-CAB858BB1033}">
      <formula1>INDIRECT("AWP_T_"&amp;SUBSTITUTE(SUBSTITUTE(B11,".","_"),"-","_"))</formula1>
    </dataValidation>
    <dataValidation type="list" allowBlank="1" showInputMessage="1" promptTitle="Thème" prompt="Sélectionnez le thème du point de vigilance" sqref="B39:B43" xr:uid="{FD8FDAC0-4A5B-4FBC-964C-7A51969734C0}">
      <formula1>AWP_THEMES</formula1>
    </dataValidation>
    <dataValidation type="list" allowBlank="1" showInputMessage="1" promptTitle="Catégorie" prompt="Sélectionnez d'abord le Thème en colonne B, puis choisissez la catégorie" sqref="C39:C43" xr:uid="{1203AB88-7745-4E47-BE47-B4A76E35A2D9}">
      <formula1>INDIRECT(VLOOKUP(B39,AWP_THEME_MAP,2,0))</formula1>
    </dataValidation>
  </dataValidations>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H43"/>
  <sheetViews>
    <sheetView showGridLines="0" zoomScaleNormal="100" workbookViewId="0">
      <pane ySplit="3" topLeftCell="A4" activePane="bottomLeft" state="frozen"/>
      <selection pane="bottomLeft" activeCell="E7" sqref="E7"/>
    </sheetView>
  </sheetViews>
  <sheetFormatPr baseColWidth="10" defaultColWidth="8.5703125" defaultRowHeight="15" x14ac:dyDescent="0.25"/>
  <cols>
    <col min="1" max="1" width="5.5703125" customWidth="1"/>
    <col min="2" max="2" width="28.5703125" customWidth="1"/>
    <col min="3" max="3" width="30" customWidth="1"/>
    <col min="4" max="4" width="32" customWidth="1"/>
    <col min="5" max="5" width="13" customWidth="1"/>
    <col min="6" max="6" width="14" customWidth="1"/>
    <col min="7" max="7" width="20" customWidth="1"/>
    <col min="8" max="8" width="30" customWidth="1"/>
  </cols>
  <sheetData>
    <row r="1" spans="1:8" ht="30" customHeight="1" x14ac:dyDescent="0.25">
      <c r="A1" s="220" t="s">
        <v>19</v>
      </c>
      <c r="B1" s="220"/>
      <c r="C1" s="220"/>
      <c r="D1" s="220"/>
      <c r="E1" s="220"/>
      <c r="F1" s="220"/>
      <c r="G1" s="220"/>
      <c r="H1" s="220"/>
    </row>
    <row r="2" spans="1:8" ht="21.75" customHeight="1" x14ac:dyDescent="0.25">
      <c r="A2" s="240" t="s">
        <v>298</v>
      </c>
      <c r="B2" s="240"/>
      <c r="C2" s="240"/>
      <c r="D2" s="240"/>
      <c r="E2" s="240"/>
      <c r="F2" s="241"/>
      <c r="G2" s="241"/>
      <c r="H2" s="241"/>
    </row>
    <row r="4" spans="1:8" ht="19.5" customHeight="1" x14ac:dyDescent="0.25">
      <c r="A4" s="240" t="s">
        <v>21</v>
      </c>
      <c r="B4" s="240"/>
      <c r="C4" s="240"/>
      <c r="D4" s="240"/>
      <c r="E4" s="240"/>
      <c r="F4" s="240"/>
      <c r="G4" s="240"/>
      <c r="H4" s="240"/>
    </row>
    <row r="5" spans="1:8" ht="18" customHeight="1" x14ac:dyDescent="0.25">
      <c r="A5" s="3" t="s">
        <v>22</v>
      </c>
      <c r="B5" s="3"/>
      <c r="C5" s="242" t="s">
        <v>23</v>
      </c>
      <c r="D5" s="242"/>
      <c r="E5" s="242" t="s">
        <v>24</v>
      </c>
      <c r="F5" s="242"/>
      <c r="G5" s="242" t="s">
        <v>25</v>
      </c>
      <c r="H5" s="242"/>
    </row>
    <row r="6" spans="1:8" ht="21.75" customHeight="1" x14ac:dyDescent="0.25">
      <c r="A6" s="5" t="s">
        <v>299</v>
      </c>
      <c r="B6" s="174"/>
      <c r="C6" s="235"/>
      <c r="D6" s="235"/>
      <c r="E6" s="236" t="str">
        <f>SE!E6</f>
        <v>Du 25/05 au 29/05/2026</v>
      </c>
      <c r="F6" s="236"/>
      <c r="G6" s="237">
        <f>SE!G6</f>
        <v>46174</v>
      </c>
      <c r="H6" s="236"/>
    </row>
    <row r="8" spans="1:8" ht="21.75" customHeight="1" x14ac:dyDescent="0.25">
      <c r="A8" s="238" t="s">
        <v>27</v>
      </c>
      <c r="B8" s="238"/>
      <c r="C8" s="238"/>
      <c r="D8" s="238"/>
      <c r="E8" s="238"/>
      <c r="F8" s="238"/>
      <c r="G8" s="238"/>
      <c r="H8" s="238"/>
    </row>
    <row r="9" spans="1:8" ht="15.75" customHeight="1" x14ac:dyDescent="0.25">
      <c r="A9" s="239" t="s">
        <v>28</v>
      </c>
      <c r="B9" s="239"/>
      <c r="C9" s="239"/>
      <c r="D9" s="239"/>
      <c r="E9" s="239"/>
      <c r="F9" s="239"/>
      <c r="G9" s="239"/>
      <c r="H9" s="239"/>
    </row>
    <row r="10" spans="1:8" ht="30" customHeight="1" x14ac:dyDescent="0.25">
      <c r="A10" s="2" t="s">
        <v>29</v>
      </c>
      <c r="B10" s="176" t="s">
        <v>30</v>
      </c>
      <c r="C10" s="176" t="s">
        <v>31</v>
      </c>
      <c r="D10" s="2" t="s">
        <v>32</v>
      </c>
      <c r="E10" s="2" t="s">
        <v>33</v>
      </c>
      <c r="F10" s="2" t="s">
        <v>34</v>
      </c>
      <c r="G10" s="226" t="s">
        <v>35</v>
      </c>
      <c r="H10" s="226"/>
    </row>
    <row r="11" spans="1:8" ht="36" customHeight="1" x14ac:dyDescent="0.25">
      <c r="A11" s="6">
        <v>1</v>
      </c>
      <c r="B11" s="177"/>
      <c r="C11" s="1"/>
      <c r="D11" s="1"/>
      <c r="E11" s="1"/>
      <c r="F11" s="1"/>
      <c r="G11" s="243"/>
      <c r="H11" s="243"/>
    </row>
    <row r="12" spans="1:8" ht="36" customHeight="1" x14ac:dyDescent="0.25">
      <c r="A12" s="6">
        <v>2</v>
      </c>
      <c r="B12" s="177"/>
      <c r="C12" s="1"/>
      <c r="D12" s="1"/>
      <c r="E12" s="1"/>
      <c r="F12" s="1"/>
      <c r="G12" s="243"/>
      <c r="H12" s="243"/>
    </row>
    <row r="13" spans="1:8" ht="36" customHeight="1" x14ac:dyDescent="0.25">
      <c r="A13" s="6">
        <v>3</v>
      </c>
      <c r="B13" s="177"/>
      <c r="C13" s="1"/>
      <c r="D13" s="1"/>
      <c r="E13" s="1"/>
      <c r="F13" s="1"/>
      <c r="G13" s="243"/>
      <c r="H13" s="243"/>
    </row>
    <row r="14" spans="1:8" ht="36" customHeight="1" x14ac:dyDescent="0.25">
      <c r="A14" s="6">
        <v>4</v>
      </c>
      <c r="B14" s="177"/>
      <c r="C14" s="1"/>
      <c r="D14" s="1"/>
      <c r="E14" s="1"/>
      <c r="F14" s="1"/>
      <c r="G14" s="243"/>
      <c r="H14" s="243"/>
    </row>
    <row r="15" spans="1:8" ht="36" customHeight="1" x14ac:dyDescent="0.25">
      <c r="A15" s="6">
        <v>5</v>
      </c>
      <c r="B15" s="177"/>
      <c r="C15" s="1"/>
      <c r="D15" s="1"/>
      <c r="E15" s="1"/>
      <c r="F15" s="1"/>
      <c r="G15" s="243"/>
      <c r="H15" s="243"/>
    </row>
    <row r="16" spans="1:8" ht="36" customHeight="1" x14ac:dyDescent="0.25">
      <c r="A16" s="6">
        <v>6</v>
      </c>
      <c r="B16" s="177"/>
      <c r="C16" s="1"/>
      <c r="D16" s="1"/>
      <c r="E16" s="1"/>
      <c r="F16" s="1"/>
      <c r="G16" s="243"/>
      <c r="H16" s="243"/>
    </row>
    <row r="17" spans="1:8" ht="36" customHeight="1" x14ac:dyDescent="0.25">
      <c r="A17" s="6">
        <v>7</v>
      </c>
      <c r="B17" s="177"/>
      <c r="C17" s="1"/>
      <c r="D17" s="1"/>
      <c r="E17" s="1"/>
      <c r="F17" s="1"/>
      <c r="G17" s="243"/>
      <c r="H17" s="243"/>
    </row>
    <row r="18" spans="1:8" ht="36" customHeight="1" x14ac:dyDescent="0.25">
      <c r="A18" s="6">
        <v>8</v>
      </c>
      <c r="B18" s="177"/>
      <c r="C18" s="1"/>
      <c r="D18" s="1"/>
      <c r="E18" s="1"/>
      <c r="F18" s="1"/>
      <c r="G18" s="243"/>
      <c r="H18" s="243"/>
    </row>
    <row r="19" spans="1:8" ht="12.75" customHeight="1" x14ac:dyDescent="0.25">
      <c r="A19" s="229" t="s">
        <v>69</v>
      </c>
      <c r="B19" s="229"/>
      <c r="C19" s="229"/>
      <c r="D19" s="229"/>
      <c r="E19" s="229"/>
      <c r="F19" s="229"/>
      <c r="G19" s="229"/>
      <c r="H19" s="229"/>
    </row>
    <row r="21" spans="1:8" ht="21.75" customHeight="1" x14ac:dyDescent="0.25">
      <c r="A21" s="227" t="s">
        <v>70</v>
      </c>
      <c r="B21" s="227"/>
      <c r="C21" s="227"/>
      <c r="D21" s="227"/>
      <c r="E21" s="227"/>
      <c r="F21" s="227"/>
      <c r="G21" s="227"/>
      <c r="H21" s="227"/>
    </row>
    <row r="22" spans="1:8" ht="15.75" customHeight="1" x14ac:dyDescent="0.25">
      <c r="A22" s="228" t="s">
        <v>71</v>
      </c>
      <c r="B22" s="228"/>
      <c r="C22" s="228"/>
      <c r="D22" s="228"/>
      <c r="E22" s="228"/>
      <c r="F22" s="228"/>
      <c r="G22" s="228"/>
      <c r="H22" s="228"/>
    </row>
    <row r="23" spans="1:8" ht="30" customHeight="1" x14ac:dyDescent="0.25">
      <c r="A23" s="2" t="s">
        <v>29</v>
      </c>
      <c r="B23" s="176" t="s">
        <v>30</v>
      </c>
      <c r="C23" s="176" t="s">
        <v>31</v>
      </c>
      <c r="D23" s="2" t="s">
        <v>32</v>
      </c>
      <c r="E23" s="2" t="s">
        <v>33</v>
      </c>
      <c r="F23" s="2" t="s">
        <v>72</v>
      </c>
      <c r="G23" s="2" t="s">
        <v>73</v>
      </c>
      <c r="H23" s="2" t="s">
        <v>74</v>
      </c>
    </row>
    <row r="24" spans="1:8" ht="31.5" customHeight="1" x14ac:dyDescent="0.25">
      <c r="A24" s="6">
        <v>1</v>
      </c>
      <c r="B24" s="177"/>
      <c r="C24" s="1"/>
      <c r="D24" s="1"/>
      <c r="E24" s="1"/>
      <c r="F24" s="1"/>
      <c r="G24" s="1"/>
      <c r="H24" s="1"/>
    </row>
    <row r="25" spans="1:8" ht="31.5" customHeight="1" x14ac:dyDescent="0.25">
      <c r="A25" s="6">
        <v>2</v>
      </c>
      <c r="B25" s="177"/>
      <c r="C25" s="1"/>
      <c r="D25" s="1"/>
      <c r="E25" s="1"/>
      <c r="F25" s="1"/>
      <c r="G25" s="1"/>
      <c r="H25" s="1"/>
    </row>
    <row r="26" spans="1:8" ht="31.5" customHeight="1" x14ac:dyDescent="0.25">
      <c r="A26" s="6">
        <v>3</v>
      </c>
      <c r="B26" s="177"/>
      <c r="C26" s="1"/>
      <c r="D26" s="1"/>
      <c r="E26" s="1"/>
      <c r="F26" s="1"/>
      <c r="G26" s="1"/>
      <c r="H26" s="1"/>
    </row>
    <row r="27" spans="1:8" ht="31.5" customHeight="1" x14ac:dyDescent="0.25">
      <c r="A27" s="6">
        <v>4</v>
      </c>
      <c r="B27" s="177"/>
      <c r="C27" s="1"/>
      <c r="D27" s="1"/>
      <c r="E27" s="1"/>
      <c r="F27" s="1"/>
      <c r="G27" s="1"/>
      <c r="H27" s="1"/>
    </row>
    <row r="28" spans="1:8" ht="31.5" customHeight="1" x14ac:dyDescent="0.25">
      <c r="A28" s="6">
        <v>5</v>
      </c>
      <c r="B28" s="177"/>
      <c r="C28" s="1"/>
      <c r="D28" s="1"/>
      <c r="E28" s="1"/>
      <c r="F28" s="1"/>
      <c r="G28" s="1"/>
      <c r="H28" s="1"/>
    </row>
    <row r="29" spans="1:8" ht="31.5" customHeight="1" x14ac:dyDescent="0.25">
      <c r="A29" s="6">
        <v>6</v>
      </c>
      <c r="B29" s="177"/>
      <c r="C29" s="1"/>
      <c r="D29" s="1"/>
      <c r="E29" s="1"/>
      <c r="F29" s="1"/>
      <c r="G29" s="1"/>
      <c r="H29" s="1"/>
    </row>
    <row r="30" spans="1:8" ht="31.5" customHeight="1" x14ac:dyDescent="0.25">
      <c r="A30" s="6">
        <v>7</v>
      </c>
      <c r="B30" s="177"/>
      <c r="C30" s="1"/>
      <c r="D30" s="1"/>
      <c r="E30" s="1"/>
      <c r="F30" s="1"/>
      <c r="G30" s="1"/>
      <c r="H30" s="1"/>
    </row>
    <row r="31" spans="1:8" ht="31.5" customHeight="1" x14ac:dyDescent="0.25">
      <c r="A31" s="6">
        <v>8</v>
      </c>
      <c r="B31" s="177"/>
      <c r="C31" s="1"/>
      <c r="D31" s="1"/>
      <c r="E31" s="1"/>
      <c r="F31" s="1"/>
      <c r="G31" s="1"/>
      <c r="H31" s="1"/>
    </row>
    <row r="32" spans="1:8" ht="31.5" customHeight="1" x14ac:dyDescent="0.25">
      <c r="A32" s="6">
        <v>9</v>
      </c>
      <c r="B32" s="177"/>
      <c r="C32" s="1"/>
      <c r="D32" s="1"/>
      <c r="E32" s="1"/>
      <c r="F32" s="1"/>
      <c r="G32" s="1"/>
      <c r="H32" s="1"/>
    </row>
    <row r="33" spans="1:8" ht="31.5" customHeight="1" x14ac:dyDescent="0.25">
      <c r="A33" s="6">
        <v>10</v>
      </c>
      <c r="B33" s="177"/>
      <c r="C33" s="1"/>
      <c r="D33" s="1"/>
      <c r="E33" s="1"/>
      <c r="F33" s="1"/>
      <c r="G33" s="1"/>
      <c r="H33" s="1"/>
    </row>
    <row r="34" spans="1:8" ht="12.75" customHeight="1" x14ac:dyDescent="0.25">
      <c r="A34" s="229" t="s">
        <v>119</v>
      </c>
      <c r="B34" s="229"/>
      <c r="C34" s="229"/>
      <c r="D34" s="229"/>
      <c r="E34" s="229"/>
      <c r="F34" s="229"/>
      <c r="G34" s="229"/>
      <c r="H34" s="229"/>
    </row>
    <row r="36" spans="1:8" ht="21.75" customHeight="1" x14ac:dyDescent="0.25">
      <c r="A36" s="230" t="s">
        <v>120</v>
      </c>
      <c r="B36" s="230"/>
      <c r="C36" s="230"/>
      <c r="D36" s="230"/>
      <c r="E36" s="230"/>
      <c r="F36" s="230"/>
      <c r="G36" s="230"/>
      <c r="H36" s="230"/>
    </row>
    <row r="37" spans="1:8" ht="15.75" customHeight="1" x14ac:dyDescent="0.25">
      <c r="A37" s="231" t="s">
        <v>121</v>
      </c>
      <c r="B37" s="231"/>
      <c r="C37" s="231"/>
      <c r="D37" s="231"/>
      <c r="E37" s="231"/>
      <c r="F37" s="231"/>
      <c r="G37" s="231"/>
      <c r="H37" s="231"/>
    </row>
    <row r="38" spans="1:8" ht="30" customHeight="1" x14ac:dyDescent="0.25">
      <c r="A38" s="2" t="s">
        <v>29</v>
      </c>
      <c r="B38" s="176" t="s">
        <v>122</v>
      </c>
      <c r="C38" s="2" t="s">
        <v>123</v>
      </c>
      <c r="D38" s="2" t="s">
        <v>124</v>
      </c>
      <c r="E38" s="2" t="s">
        <v>125</v>
      </c>
      <c r="F38" s="2" t="s">
        <v>126</v>
      </c>
      <c r="G38" s="226"/>
      <c r="H38" s="226"/>
    </row>
    <row r="39" spans="1:8" ht="31.5" customHeight="1" x14ac:dyDescent="0.25">
      <c r="A39" s="6">
        <v>1</v>
      </c>
      <c r="B39" s="177"/>
      <c r="C39" s="181"/>
      <c r="D39" s="1"/>
      <c r="E39" s="1"/>
      <c r="F39" s="1"/>
      <c r="G39" s="209"/>
      <c r="H39" s="209"/>
    </row>
    <row r="40" spans="1:8" ht="31.5" customHeight="1" x14ac:dyDescent="0.25">
      <c r="A40" s="6">
        <v>2</v>
      </c>
      <c r="B40" s="177"/>
      <c r="C40" s="181"/>
      <c r="D40" s="1"/>
      <c r="E40" s="1"/>
      <c r="F40" s="1"/>
      <c r="G40" s="209"/>
      <c r="H40" s="209"/>
    </row>
    <row r="41" spans="1:8" ht="31.5" customHeight="1" x14ac:dyDescent="0.25">
      <c r="A41" s="6">
        <v>3</v>
      </c>
      <c r="B41" s="177"/>
      <c r="C41" s="181"/>
      <c r="D41" s="1"/>
      <c r="E41" s="1"/>
      <c r="F41" s="1"/>
      <c r="G41" s="209"/>
      <c r="H41" s="209"/>
    </row>
    <row r="42" spans="1:8" ht="31.5" customHeight="1" x14ac:dyDescent="0.25">
      <c r="A42" s="6">
        <v>4</v>
      </c>
      <c r="B42" s="177"/>
      <c r="C42" s="181"/>
      <c r="D42" s="1"/>
      <c r="E42" s="1"/>
      <c r="F42" s="1"/>
      <c r="G42" s="209"/>
      <c r="H42" s="209"/>
    </row>
    <row r="43" spans="1:8" ht="31.5" customHeight="1" x14ac:dyDescent="0.25">
      <c r="A43" s="6">
        <v>5</v>
      </c>
      <c r="B43" s="177"/>
      <c r="C43" s="181"/>
      <c r="D43" s="1"/>
      <c r="E43" s="1"/>
      <c r="F43" s="1"/>
      <c r="G43" s="209"/>
      <c r="H43" s="209"/>
    </row>
  </sheetData>
  <mergeCells count="33">
    <mergeCell ref="A1:H1"/>
    <mergeCell ref="A2:E2"/>
    <mergeCell ref="F2:H2"/>
    <mergeCell ref="A4:H4"/>
    <mergeCell ref="C5:D5"/>
    <mergeCell ref="E5:F5"/>
    <mergeCell ref="G5:H5"/>
    <mergeCell ref="C6:D6"/>
    <mergeCell ref="E6:F6"/>
    <mergeCell ref="G6:H6"/>
    <mergeCell ref="A8:H8"/>
    <mergeCell ref="A9:H9"/>
    <mergeCell ref="G10:H10"/>
    <mergeCell ref="G11:H11"/>
    <mergeCell ref="G12:H12"/>
    <mergeCell ref="G13:H13"/>
    <mergeCell ref="G14:H14"/>
    <mergeCell ref="G15:H15"/>
    <mergeCell ref="G16:H16"/>
    <mergeCell ref="G17:H17"/>
    <mergeCell ref="G18:H18"/>
    <mergeCell ref="A19:H19"/>
    <mergeCell ref="A21:H21"/>
    <mergeCell ref="A22:H22"/>
    <mergeCell ref="A34:H34"/>
    <mergeCell ref="A36:H36"/>
    <mergeCell ref="A37:H37"/>
    <mergeCell ref="G43:H43"/>
    <mergeCell ref="G38:H38"/>
    <mergeCell ref="G39:H39"/>
    <mergeCell ref="G40:H40"/>
    <mergeCell ref="G41:H41"/>
    <mergeCell ref="G42:H42"/>
  </mergeCells>
  <dataValidations count="6">
    <dataValidation type="list" allowBlank="1" sqref="G24:G33" xr:uid="{00000000-0002-0000-0800-000000000000}">
      <formula1>"✅ OUI,❌ NON"</formula1>
      <formula2>0</formula2>
    </dataValidation>
    <dataValidation type="list" allowBlank="1" sqref="E39:E43" xr:uid="{00000000-0002-0000-0800-000001000000}">
      <formula1>"🔴 Critique,🟠 Élevé,🟡 Modéré,🟢 Faible"</formula1>
      <formula2>0</formula2>
    </dataValidation>
    <dataValidation type="list" allowBlank="1" showInputMessage="1" promptTitle="N° Activité" prompt="Sélectionnez le numéro de l'activité AWP FY26" sqref="B11:B18 B24:B33" xr:uid="{9D4C1AB6-B300-49F2-8FAA-C3F2CBFFB78C}">
      <formula1>AWP_ACTIVITES</formula1>
    </dataValidation>
    <dataValidation type="list" allowBlank="1" showInputMessage="1" promptTitle="Libellé de la tâche" prompt="Sélectionnez d'abord le N° Activité en colonne B, puis choisissez la tâche" sqref="C24:C33 C11:C18" xr:uid="{59AE1874-A5EE-4100-99E0-83BBDFEB7FCA}">
      <formula1>INDIRECT("AWP_T_"&amp;SUBSTITUTE(SUBSTITUTE(B11,".","_"),"-","_"))</formula1>
    </dataValidation>
    <dataValidation type="list" allowBlank="1" showInputMessage="1" promptTitle="Thème" prompt="Sélectionnez le thème du point de vigilance" sqref="B39:B43" xr:uid="{4DDCD484-CCB1-466B-8952-46016C24EE81}">
      <formula1>AWP_THEMES</formula1>
    </dataValidation>
    <dataValidation type="list" allowBlank="1" showInputMessage="1" promptTitle="Catégorie" prompt="Sélectionnez d'abord le Thème en colonne B, puis choisissez la catégorie" sqref="C39:C43" xr:uid="{3F0393BD-D4CC-43CE-906A-B22465387E5D}">
      <formula1>INDIRECT(VLOOKUP(B39,AWP_THEME_MAP,2,0))</formula1>
    </dataValidation>
  </dataValidations>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75623"/>
    <pageSetUpPr fitToPage="1"/>
  </sheetPr>
  <dimension ref="A1:G257"/>
  <sheetViews>
    <sheetView showGridLines="0" zoomScaleNormal="100" workbookViewId="0">
      <pane ySplit="3" topLeftCell="A107" activePane="bottomLeft" state="frozen"/>
      <selection pane="bottomLeft" activeCell="E60" sqref="E60:E65"/>
    </sheetView>
  </sheetViews>
  <sheetFormatPr baseColWidth="10" defaultColWidth="8.5703125" defaultRowHeight="15" x14ac:dyDescent="0.25"/>
  <cols>
    <col min="1" max="1" width="2.85546875" customWidth="1"/>
    <col min="2" max="2" width="30" customWidth="1"/>
    <col min="3" max="3" width="32" customWidth="1"/>
    <col min="4" max="4" width="23.28515625" customWidth="1"/>
    <col min="5" max="5" width="14" style="205" customWidth="1"/>
    <col min="6" max="6" width="20" customWidth="1"/>
    <col min="7" max="7" width="30" customWidth="1"/>
  </cols>
  <sheetData>
    <row r="1" spans="1:7" ht="30" customHeight="1" x14ac:dyDescent="0.25">
      <c r="A1" s="220" t="s">
        <v>300</v>
      </c>
      <c r="B1" s="220"/>
      <c r="C1" s="220"/>
      <c r="D1" s="220"/>
      <c r="E1" s="220"/>
      <c r="F1" s="220"/>
      <c r="G1" s="220"/>
    </row>
    <row r="2" spans="1:7" ht="18" customHeight="1" x14ac:dyDescent="0.25">
      <c r="A2" s="221" t="s">
        <v>301</v>
      </c>
      <c r="B2" s="221"/>
      <c r="C2" s="221"/>
      <c r="D2" s="221"/>
      <c r="E2" s="222" t="s">
        <v>302</v>
      </c>
      <c r="F2" s="222"/>
      <c r="G2" s="222"/>
    </row>
    <row r="4" spans="1:7" ht="24" customHeight="1" x14ac:dyDescent="0.25">
      <c r="A4" s="223" t="s">
        <v>303</v>
      </c>
      <c r="B4" s="223"/>
      <c r="C4" s="223"/>
      <c r="D4" s="223"/>
      <c r="E4" s="223"/>
      <c r="F4" s="223"/>
      <c r="G4" s="223"/>
    </row>
    <row r="5" spans="1:7" ht="18" customHeight="1" x14ac:dyDescent="0.25">
      <c r="A5" s="217" t="s">
        <v>304</v>
      </c>
      <c r="B5" s="217"/>
      <c r="C5" s="217"/>
      <c r="D5" s="217"/>
      <c r="E5" s="217"/>
      <c r="F5" s="217"/>
      <c r="G5" s="217"/>
    </row>
    <row r="6" spans="1:7" ht="21.75" customHeight="1" x14ac:dyDescent="0.25">
      <c r="A6" s="7" t="s">
        <v>29</v>
      </c>
      <c r="B6" s="7" t="s">
        <v>305</v>
      </c>
      <c r="C6" s="7" t="s">
        <v>32</v>
      </c>
      <c r="D6" s="7" t="s">
        <v>33</v>
      </c>
      <c r="E6" s="203" t="s">
        <v>34</v>
      </c>
      <c r="F6" s="207" t="s">
        <v>35</v>
      </c>
      <c r="G6" s="207"/>
    </row>
    <row r="7" spans="1:7" ht="31.5" customHeight="1" x14ac:dyDescent="0.25">
      <c r="A7" s="8">
        <v>1</v>
      </c>
      <c r="B7" s="9" t="str">
        <f>IF(CAD!C11="","",CAD!C11)</f>
        <v>1.3-2.4 : Organiser des rencontres d'orientation logistique au niveau départemental</v>
      </c>
      <c r="C7" s="9" t="str">
        <f>IF(CAD!D11="","",CAD!D11)</f>
        <v>· Présenter et analyser les résultats des activités logistiques au niveau des ESPC : rapportage et qualité des données rapportées ; disponibilités des stocks de produits traceurs et Système d’Alerte Précoce ; Gestion des stocks et utilisation de mSupply ; données de la File Active.
· Identifier les problèmes à la mise en œuvre des activités au niveau des ESPC
· Renforcer les capacités des gestionnaires de pharmacie des ESPC
· Formuler des recommandations</v>
      </c>
      <c r="D7" s="9" t="str">
        <f>IF(CAD!E11="","",CAD!E11)</f>
        <v>DS APA (26/05/2026)</v>
      </c>
      <c r="E7" s="204">
        <f>IF(CAD!F11="","",CAD!F11)</f>
        <v>46168</v>
      </c>
      <c r="F7" s="216" t="str">
        <f>IF(CAD!G11="","",CAD!G11)</f>
        <v>Nombre d'acteurs des ESPC présents :  14 acteurs; Les acteurs présents ont été sensibilités sur l'importance du respect du délai de dépôt des RM, coachés sur la qualité des données rapportées en passant en revue les erreurs courantes de rapportage (report mensuel des données; mauvaise unité de rapportage; items insuffisamment renseignés; erreurs de calculs; les incohérences régimes et indicateurs), au SAP et sa mise en oeuvre. Aussi, les acteurs ont été orientés sur la gestion des produits iCCM. Quelques recommandations : Organiser les services en responsabilisant les acteurs; Elaborer et transmettre dans les délais les RM; Valider en interne les données avant transmission des rapports au DS; Utiliser correctement toutes les fonctionnalités de mSupply; Estimer correctement les quantités à allouer en tenant compte des consommations réelles et des nombres de jours de rupture notifiés; Mettre en oeuvre le SAP pour anticiper tous risques de rupture et de péremptione</v>
      </c>
      <c r="G7" s="216"/>
    </row>
    <row r="8" spans="1:7" ht="31.5" customHeight="1" x14ac:dyDescent="0.25">
      <c r="A8" s="8">
        <v>2</v>
      </c>
      <c r="B8" s="9" t="str">
        <f>IF(CAD!C12="","",CAD!C12)</f>
        <v>1.3-2.2 : Organiser des visites d'assistance technique aux acteurs de la chaîne d'approvisionnement décentralisée</v>
      </c>
      <c r="C8" s="9" t="str">
        <f>IF(CAD!D12="","",CAD!D12)</f>
        <v>Améliorer la qualité du rapportage, la qualité des prestations et de la gestion des produits et intrants des PNS</v>
      </c>
      <c r="D8" s="9" t="str">
        <f>IF(CAD!E12="","",CAD!E12)</f>
        <v xml:space="preserve"> </v>
      </c>
      <c r="E8" s="204" t="str">
        <f>IF(CAD!F12="","",CAD!F12)</f>
        <v>Du 25 au 29/05/2026</v>
      </c>
      <c r="F8" s="216" t="str">
        <f>IF(CAD!G12="","",CAD!G12)</f>
        <v xml:space="preserve"> Pas de visite réalisée cette semaine</v>
      </c>
      <c r="G8" s="216"/>
    </row>
    <row r="9" spans="1:7" ht="31.5" customHeight="1" x14ac:dyDescent="0.25">
      <c r="A9" s="8">
        <v>3</v>
      </c>
      <c r="B9" s="9" t="str">
        <f>IF(CAD!C13="","",CAD!C13)</f>
        <v>1.3-2.3 : Apporter un appui technique et financier aux réunions régionales d'analyse et de mise à niveau des stocks</v>
      </c>
      <c r="C9" s="9" t="str">
        <f>IF(CAD!D13="","",CAD!D13)</f>
        <v>Accompagner les gestionnaires des sites clients directs dans l'exécution effective des plans de redéploiements des stocks issus des réunions d'analyse</v>
      </c>
      <c r="D9" s="9" t="str">
        <f>IF(CAD!E13="","",CAD!E13)</f>
        <v>Suivi de l'execution des plans de redeploiement élaborés et en cours de réalisation</v>
      </c>
      <c r="E9" s="204" t="str">
        <f>IF(CAD!F13="","",CAD!F13)</f>
        <v>Du 25 au 29/05/2026</v>
      </c>
      <c r="F9" s="216" t="str">
        <f>IF(CAD!G13="","",CAD!G13)</f>
        <v>1 plan de redéploiement a été élaboré et en cours de réalisation avec l'appui logistique de LHSPLA. Pour les réunions réalisées la semaine du 11 au 15/05/202, le point de suivi de la réalisation des 4 plans de redéploiement est le suivant :  Région Moronou (100%); Région Lôh Djiboua (80%); Région Gôh (80%) et Agnéby-Tiassa (80%)</v>
      </c>
      <c r="G9" s="216"/>
    </row>
    <row r="10" spans="1:7" ht="31.5" customHeight="1" x14ac:dyDescent="0.25">
      <c r="A10" s="8">
        <v>4</v>
      </c>
      <c r="B10" s="9" t="str">
        <f>IF(CAD!C14="","",CAD!C14)</f>
        <v>1.3-1.1 : Faire la mise à jour mensuelle des contacts téléphoniques des prestataires à insérer dans la flotte</v>
      </c>
      <c r="C10" s="9" t="str">
        <f>IF(CAD!D14="","",CAD!D14)</f>
        <v>Faciliter les échanges d'informations logistiques des produits de santé du niveau central au niveau communautaire</v>
      </c>
      <c r="D10" s="9" t="str">
        <f>IF(CAD!E14="","",CAD!E14)</f>
        <v/>
      </c>
      <c r="E10" s="204" t="str">
        <f>IF(CAD!F14="","",CAD!F14)</f>
        <v/>
      </c>
      <c r="F10" s="216" t="str">
        <f>IF(CAD!G14="","",CAD!G14)</f>
        <v/>
      </c>
      <c r="G10" s="216"/>
    </row>
    <row r="11" spans="1:7" ht="31.5" customHeight="1" x14ac:dyDescent="0.25">
      <c r="A11" s="8">
        <v>5</v>
      </c>
      <c r="B11" s="9" t="str">
        <f>IF(CAD!C15="","",CAD!C15)</f>
        <v>1.2-1.1 : Faire le suivi la complétude et la promptitude des rapports des sites non clients directs (mSupply, …)</v>
      </c>
      <c r="C11" s="9" t="str">
        <f>IF(CAD!D15="","",CAD!D15)</f>
        <v>améliorer la disponibilité  des produits traceurs au niveau des sites derservis par les districts</v>
      </c>
      <c r="D11" s="9" t="str">
        <f>IF(CAD!E15="","",CAD!E15)</f>
        <v>Régions sanitaires livrées par l'Agence Régionale de Bouaké</v>
      </c>
      <c r="E11" s="204" t="str">
        <f>IF(CAD!F15="","",CAD!F15)</f>
        <v>Du 25/05/2026 au  31/05/2026</v>
      </c>
      <c r="F11" s="216" t="str">
        <f>IF(CAD!G15="","",CAD!G15)</f>
        <v xml:space="preserve">Relance sous forme de rappels dans les groupes watsapp de districts pour les differentes tâches à effectuer avec mSupply; </v>
      </c>
      <c r="G11" s="216"/>
    </row>
    <row r="12" spans="1:7" ht="31.5" customHeight="1" x14ac:dyDescent="0.25">
      <c r="A12" s="8">
        <v>6</v>
      </c>
      <c r="B12" s="9" t="str">
        <f>IF(CAD!C16="","",CAD!C16)</f>
        <v>1.3-2.3 : Apporter un appui technique et financier aux réunions régionales d'analyse et de mise à niveau des stocks</v>
      </c>
      <c r="C12" s="9" t="str">
        <f>IF(CAD!D16="","",CAD!D16)</f>
        <v>améliorer la disponibilité  des produits traceurs des programmes de sante au niveau de chaque région</v>
      </c>
      <c r="D12" s="9" t="str">
        <f>IF(CAD!E16="","",CAD!E16)</f>
        <v>Bélier, Marahoué,Hambol, Haut-Sassandra, Guémon, et Worodougou</v>
      </c>
      <c r="E12" s="204" t="str">
        <f>IF(CAD!F16="","",CAD!F16)</f>
        <v>Du 25/05/2026 au  29/05/2026</v>
      </c>
      <c r="F12" s="216" t="str">
        <f>IF(CAD!G16="","",CAD!G16)</f>
        <v>suivi de l'excécution des plans de rédeploiement issus des réunions d'analyse des stocks; le taux est de 100% pour le Worodougou, Bélier et Haut-Sassandra</v>
      </c>
      <c r="G12" s="216"/>
    </row>
    <row r="13" spans="1:7" ht="31.5" customHeight="1" x14ac:dyDescent="0.25">
      <c r="A13" s="8">
        <v>7</v>
      </c>
      <c r="B13" s="9" t="str">
        <f>IF(CAD!C17="","",CAD!C17)</f>
        <v>1.8-2.1 : Organiser des sessions de formation des acteurs de la chaîne d'approvisionnement</v>
      </c>
      <c r="C13" s="9" t="str">
        <f>IF(CAD!D17="","",CAD!D17)</f>
        <v>Renforcer less capacité techniques des gestionnaires (APGP, IDE et SFDE) des produits de santé des sites péripheriques</v>
      </c>
      <c r="D13" s="9" t="str">
        <f>IF(CAD!E17="","",CAD!E17)</f>
        <v>Yamoussoukro</v>
      </c>
      <c r="E13" s="204" t="str">
        <f>IF(CAD!F17="","",CAD!F17)</f>
        <v>27/05/2026 au 31/05/2026</v>
      </c>
      <c r="F13" s="216" t="str">
        <f>IF(CAD!G17="","",CAD!G17)</f>
        <v>Formation de 15 acteurs des ESPC et districts surl'optimisation de la gestion des stocks des produits de santé; entreposage et stockage; prise en main de mSupply; Système d'Alerte Précoce et Assistance Technique. La progression des apprenants etait significative à l'issu des pré et Post-Test</v>
      </c>
      <c r="G13" s="216"/>
    </row>
    <row r="14" spans="1:7" ht="31.5" customHeight="1" x14ac:dyDescent="0.25">
      <c r="A14" s="8">
        <v>8</v>
      </c>
      <c r="B14" s="9" t="str">
        <f>IF(CAD!C18="","",CAD!C18)</f>
        <v/>
      </c>
      <c r="C14" s="9" t="str">
        <f>IF(CAD!D18="","",CAD!D18)</f>
        <v/>
      </c>
      <c r="D14" s="9" t="str">
        <f>IF(CAD!E18="","",CAD!E18)</f>
        <v/>
      </c>
      <c r="E14" s="204" t="str">
        <f>IF(CAD!F18="","",CAD!F18)</f>
        <v/>
      </c>
      <c r="F14" s="216" t="str">
        <f>IF(CAD!G18="","",CAD!G18)</f>
        <v/>
      </c>
      <c r="G14" s="216"/>
    </row>
    <row r="16" spans="1:7" ht="18" customHeight="1" x14ac:dyDescent="0.25">
      <c r="A16" s="217" t="s">
        <v>306</v>
      </c>
      <c r="B16" s="217"/>
      <c r="C16" s="217"/>
      <c r="D16" s="217"/>
      <c r="E16" s="217"/>
      <c r="F16" s="217"/>
      <c r="G16" s="217"/>
    </row>
    <row r="17" spans="1:7" ht="21.75" customHeight="1" x14ac:dyDescent="0.25">
      <c r="A17" s="7" t="s">
        <v>29</v>
      </c>
      <c r="B17" s="7" t="s">
        <v>305</v>
      </c>
      <c r="C17" s="7" t="s">
        <v>32</v>
      </c>
      <c r="D17" s="7" t="s">
        <v>33</v>
      </c>
      <c r="E17" s="203" t="s">
        <v>34</v>
      </c>
      <c r="F17" s="207" t="s">
        <v>35</v>
      </c>
      <c r="G17" s="207"/>
    </row>
    <row r="18" spans="1:7" ht="31.5" customHeight="1" x14ac:dyDescent="0.25">
      <c r="A18" s="8">
        <v>1</v>
      </c>
      <c r="B18" s="9" t="str">
        <f>IF(PMO!C11="","",PMO!C11)</f>
        <v/>
      </c>
      <c r="C18" s="9" t="str">
        <f>IF(PMO!D11="","",PMO!D11)</f>
        <v/>
      </c>
      <c r="D18" s="9" t="str">
        <f>IF(PMO!E11="","",PMO!E11)</f>
        <v/>
      </c>
      <c r="E18" s="204" t="str">
        <f>IF(PMO!F11="","",PMO!F11)</f>
        <v/>
      </c>
      <c r="F18" s="216" t="str">
        <f>IF(PMO!G11="","",PMO!G11)</f>
        <v/>
      </c>
      <c r="G18" s="216"/>
    </row>
    <row r="19" spans="1:7" ht="31.5" customHeight="1" x14ac:dyDescent="0.25">
      <c r="A19" s="8">
        <v>2</v>
      </c>
      <c r="B19" s="9" t="str">
        <f>IF(PMO!C12="","",PMO!C12)</f>
        <v/>
      </c>
      <c r="C19" s="9" t="str">
        <f>IF(PMO!D12="","",PMO!D12)</f>
        <v/>
      </c>
      <c r="D19" s="9" t="str">
        <f>IF(PMO!E12="","",PMO!E12)</f>
        <v/>
      </c>
      <c r="E19" s="204" t="str">
        <f>IF(PMO!F12="","",PMO!F12)</f>
        <v/>
      </c>
      <c r="F19" s="216" t="str">
        <f>IF(PMO!G12="","",PMO!G12)</f>
        <v/>
      </c>
      <c r="G19" s="216"/>
    </row>
    <row r="20" spans="1:7" ht="31.5" customHeight="1" x14ac:dyDescent="0.25">
      <c r="A20" s="8">
        <v>3</v>
      </c>
      <c r="B20" s="9" t="str">
        <f>IF(PMO!C13="","",PMO!C13)</f>
        <v/>
      </c>
      <c r="C20" s="9" t="str">
        <f>IF(PMO!D13="","",PMO!D13)</f>
        <v/>
      </c>
      <c r="D20" s="9" t="str">
        <f>IF(PMO!E13="","",PMO!E13)</f>
        <v/>
      </c>
      <c r="E20" s="204" t="str">
        <f>IF(PMO!F13="","",PMO!F13)</f>
        <v/>
      </c>
      <c r="F20" s="216" t="str">
        <f>IF(PMO!G13="","",PMO!G13)</f>
        <v/>
      </c>
      <c r="G20" s="216"/>
    </row>
    <row r="21" spans="1:7" ht="31.5" customHeight="1" x14ac:dyDescent="0.25">
      <c r="A21" s="8">
        <v>4</v>
      </c>
      <c r="B21" s="9" t="str">
        <f>IF(PMO!C14="","",PMO!C14)</f>
        <v/>
      </c>
      <c r="C21" s="9" t="str">
        <f>IF(PMO!D14="","",PMO!D14)</f>
        <v/>
      </c>
      <c r="D21" s="9" t="str">
        <f>IF(PMO!E14="","",PMO!E14)</f>
        <v/>
      </c>
      <c r="E21" s="204" t="str">
        <f>IF(PMO!F14="","",PMO!F14)</f>
        <v/>
      </c>
      <c r="F21" s="216" t="str">
        <f>IF(PMO!G14="","",PMO!G14)</f>
        <v/>
      </c>
      <c r="G21" s="216"/>
    </row>
    <row r="22" spans="1:7" ht="31.5" customHeight="1" x14ac:dyDescent="0.25">
      <c r="A22" s="8">
        <v>5</v>
      </c>
      <c r="B22" s="9" t="str">
        <f>IF(PMO!C15="","",PMO!C15)</f>
        <v/>
      </c>
      <c r="C22" s="9" t="str">
        <f>IF(PMO!D15="","",PMO!D15)</f>
        <v/>
      </c>
      <c r="D22" s="9" t="str">
        <f>IF(PMO!E15="","",PMO!E15)</f>
        <v/>
      </c>
      <c r="E22" s="204" t="str">
        <f>IF(PMO!F15="","",PMO!F15)</f>
        <v/>
      </c>
      <c r="F22" s="216" t="str">
        <f>IF(PMO!G15="","",PMO!G15)</f>
        <v/>
      </c>
      <c r="G22" s="216"/>
    </row>
    <row r="23" spans="1:7" ht="31.5" customHeight="1" x14ac:dyDescent="0.25">
      <c r="A23" s="8">
        <v>6</v>
      </c>
      <c r="B23" s="9" t="str">
        <f>IF(PMO!C16="","",PMO!C16)</f>
        <v/>
      </c>
      <c r="C23" s="9" t="str">
        <f>IF(PMO!D16="","",PMO!D16)</f>
        <v/>
      </c>
      <c r="D23" s="9" t="str">
        <f>IF(PMO!E16="","",PMO!E16)</f>
        <v/>
      </c>
      <c r="E23" s="204" t="str">
        <f>IF(PMO!F16="","",PMO!F16)</f>
        <v/>
      </c>
      <c r="F23" s="216" t="str">
        <f>IF(PMO!G16="","",PMO!G16)</f>
        <v/>
      </c>
      <c r="G23" s="216"/>
    </row>
    <row r="24" spans="1:7" ht="31.5" customHeight="1" x14ac:dyDescent="0.25">
      <c r="A24" s="8">
        <v>7</v>
      </c>
      <c r="B24" s="9" t="str">
        <f>IF(PMO!C17="","",PMO!C17)</f>
        <v/>
      </c>
      <c r="C24" s="9" t="str">
        <f>IF(PMO!D17="","",PMO!D17)</f>
        <v/>
      </c>
      <c r="D24" s="9" t="str">
        <f>IF(PMO!E17="","",PMO!E17)</f>
        <v/>
      </c>
      <c r="E24" s="204" t="str">
        <f>IF(PMO!F17="","",PMO!F17)</f>
        <v/>
      </c>
      <c r="F24" s="216" t="str">
        <f>IF(PMO!G17="","",PMO!G17)</f>
        <v/>
      </c>
      <c r="G24" s="216"/>
    </row>
    <row r="25" spans="1:7" ht="31.5" customHeight="1" x14ac:dyDescent="0.25">
      <c r="A25" s="8">
        <v>8</v>
      </c>
      <c r="B25" s="9" t="str">
        <f>IF(PMO!C18="","",PMO!C18)</f>
        <v/>
      </c>
      <c r="C25" s="9" t="str">
        <f>IF(PMO!D18="","",PMO!D18)</f>
        <v/>
      </c>
      <c r="D25" s="9" t="str">
        <f>IF(PMO!E18="","",PMO!E18)</f>
        <v/>
      </c>
      <c r="E25" s="204" t="str">
        <f>IF(PMO!F18="","",PMO!F18)</f>
        <v/>
      </c>
      <c r="F25" s="216" t="str">
        <f>IF(PMO!G18="","",PMO!G18)</f>
        <v/>
      </c>
      <c r="G25" s="216"/>
    </row>
    <row r="27" spans="1:7" ht="18" customHeight="1" x14ac:dyDescent="0.25">
      <c r="A27" s="217" t="s">
        <v>307</v>
      </c>
      <c r="B27" s="217"/>
      <c r="C27" s="217"/>
      <c r="D27" s="217"/>
      <c r="E27" s="217"/>
      <c r="F27" s="217"/>
      <c r="G27" s="217"/>
    </row>
    <row r="28" spans="1:7" ht="21.75" customHeight="1" x14ac:dyDescent="0.25">
      <c r="A28" s="7" t="s">
        <v>29</v>
      </c>
      <c r="B28" s="7" t="s">
        <v>305</v>
      </c>
      <c r="C28" s="7" t="s">
        <v>32</v>
      </c>
      <c r="D28" s="7" t="s">
        <v>33</v>
      </c>
      <c r="E28" s="203" t="s">
        <v>34</v>
      </c>
      <c r="F28" s="207" t="s">
        <v>35</v>
      </c>
      <c r="G28" s="207"/>
    </row>
    <row r="29" spans="1:7" ht="31.5" customHeight="1" x14ac:dyDescent="0.25">
      <c r="A29" s="8">
        <v>1</v>
      </c>
      <c r="B29" s="9" t="str">
        <f>IF(QAD!C11="","",QAD!C11)</f>
        <v>1.10-1.1 : Participer aux réunions de suivi mensuel de stock des PNS</v>
      </c>
      <c r="C29" s="9" t="str">
        <f>IF(QAD!D11="","",QAD!D11)</f>
        <v>* Suivi mensuel des stocks et des PA pour une disponibilité adéquate des produits à tous les niveaux de la chaine d'approvisionnement pour réduire les risques de rupture et de péremption</v>
      </c>
      <c r="D29" s="9" t="str">
        <f>IF(QAD!E11="","",QAD!E11)</f>
        <v>En ligne</v>
      </c>
      <c r="E29" s="204">
        <f>IF(QAD!F11="","",QAD!F11)</f>
        <v>46168</v>
      </c>
      <c r="F29" s="216" t="str">
        <f>IF(QAD!G11="","",QAD!G11)</f>
        <v>*Principales recommandations pour la NPSP*
 Fournir la date probable de livraison du reliquat des produits de prémière ligne sous BGE
 Actualiser le eSigl et le fichier suivi de stock en y rétirant l'amikacine inj
 Retarder la prochaine commande de Bedaquiline 20mg du
 fait du surstock observé au niveau central comme péripherique sur ce produit (  fin septembre au lieu de fin juin 2026)</v>
      </c>
      <c r="G29" s="216"/>
    </row>
    <row r="30" spans="1:7" ht="31.5" customHeight="1" x14ac:dyDescent="0.25">
      <c r="A30" s="8">
        <v>2</v>
      </c>
      <c r="B30" s="9" t="str">
        <f>IF(QAD!C12="","",QAD!C12)</f>
        <v>3.2-1.2 : Mettre à disposition des transitaires la documentation requise pour organiser l'acheminement</v>
      </c>
      <c r="C30" s="9" t="str">
        <f>IF(QAD!D12="","",QAD!D12)</f>
        <v>* Disponibilité rapide des produits dans les entrepôts NPSP</v>
      </c>
      <c r="D30" s="9" t="str">
        <f>IF(QAD!E12="","",QAD!E12)</f>
        <v>ABIDJAN</v>
      </c>
      <c r="E30" s="204">
        <f>IF(QAD!F12="","",QAD!F12)</f>
        <v>46171</v>
      </c>
      <c r="F30" s="216" t="str">
        <f>IF(QAD!G12="","",QAD!G12)</f>
        <v>* Résultats clés*
Transmission des observations (date d'effet) sur le document projet d'exonération sur les acquisitions planifiées sur budget du Gouvernement Américain</v>
      </c>
      <c r="G30" s="216"/>
    </row>
    <row r="31" spans="1:7" ht="31.5" customHeight="1" x14ac:dyDescent="0.25">
      <c r="A31" s="8">
        <v>3</v>
      </c>
      <c r="B31" s="9" t="str">
        <f>IF(QAD!C13="","",QAD!C13)</f>
        <v>2.6-5.9 : Organiser quatre sessions d'orientation des Acteurs de la gestion logistique</v>
      </c>
      <c r="C31" s="9" t="str">
        <f>IF(QAD!D13="","",QAD!D13)</f>
        <v>Renforcer les capacités des gestionnaires et techniciens de laboratoire en gestion logistique des produits de la charge virale</v>
      </c>
      <c r="D31" s="9" t="str">
        <f>IF(QAD!E13="","",QAD!E13)</f>
        <v>ABIDJAN</v>
      </c>
      <c r="E31" s="204">
        <f>IF(QAD!F13="","",QAD!F13)</f>
        <v>46170</v>
      </c>
      <c r="F31" s="216" t="str">
        <f>IF(QAD!G13="","",QAD!G13)</f>
        <v>Renforcement des capacités de 18 personnes (pharmacie et laboratoire) sur la gestion des produits de mPima et des consommables généraux relatifs aux produits de laboratoire.</v>
      </c>
      <c r="G31" s="216"/>
    </row>
    <row r="32" spans="1:7" ht="31.5" customHeight="1" x14ac:dyDescent="0.25">
      <c r="A32" s="8">
        <v>4</v>
      </c>
      <c r="B32" s="9" t="str">
        <f>IF(QAD!C14="","",QAD!C14)</f>
        <v>2.2-1.4 : Mettre en place un fichier de suivi intégré de la reception des produits à la levée de quarantaine de ces produits</v>
      </c>
      <c r="C32" s="9" t="str">
        <f>IF(QAD!D14="","",QAD!D14)</f>
        <v>Respect des délais objectivés</v>
      </c>
      <c r="D32" s="9" t="str">
        <f>IF(QAD!E14="","",QAD!E14)</f>
        <v>Abidjan</v>
      </c>
      <c r="E32" s="204" t="str">
        <f>IF(QAD!F14="","",QAD!F14)</f>
        <v>25 au 29 mai</v>
      </c>
      <c r="F32" s="216" t="str">
        <f>IF(QAD!G14="","",QAD!G14)</f>
        <v>Finaliser la correspondance entre les désignation/code QAT et Sage X3 pour transmission interne</v>
      </c>
      <c r="G32" s="216"/>
    </row>
    <row r="33" spans="1:7" ht="31.5" customHeight="1" x14ac:dyDescent="0.25">
      <c r="A33" s="8">
        <v>5</v>
      </c>
      <c r="B33" s="9" t="str">
        <f>IF(QAD!C15="","",QAD!C15)</f>
        <v>2.2-3.1 : Organiser 3 inventaires des produits traceurs des programmes suivis</v>
      </c>
      <c r="C33" s="9" t="str">
        <f>IF(QAD!D15="","",QAD!D15)</f>
        <v>Améliorer la précision et la justesse des stocks</v>
      </c>
      <c r="D33" s="9" t="str">
        <f>IF(QAD!E15="","",QAD!E15)</f>
        <v>Abidjan</v>
      </c>
      <c r="E33" s="204" t="str">
        <f>IF(QAD!F15="","",QAD!F15)</f>
        <v>30 mai au 03 juin</v>
      </c>
      <c r="F33" s="216" t="str">
        <f>IF(QAD!G15="","",QAD!G15)</f>
        <v xml:space="preserve">Améliorer la communication interne concernant l'inventaire tournant. </v>
      </c>
      <c r="G33" s="216"/>
    </row>
    <row r="34" spans="1:7" ht="31.5" customHeight="1" x14ac:dyDescent="0.25">
      <c r="A34" s="8">
        <v>6</v>
      </c>
      <c r="B34" s="9" t="str">
        <f>IF(QAD!C16="","",QAD!C16)</f>
        <v>2.2-2.2 : Faire le suivi hebdomadaire de l'exécution du plan de réapprovisionnement</v>
      </c>
      <c r="C34" s="9" t="str">
        <f>IF(QAD!D16="","",QAD!D16)</f>
        <v>Améliorer la disponibilité des produits dans les agences de distribution</v>
      </c>
      <c r="D34" s="9" t="str">
        <f>IF(QAD!E16="","",QAD!E16)</f>
        <v>Abidjan</v>
      </c>
      <c r="E34" s="204" t="str">
        <f>IF(QAD!F16="","",QAD!F16)</f>
        <v>25 au 31 mai</v>
      </c>
      <c r="F34" s="216" t="str">
        <f>IF(QAD!G16="","",QAD!G16)</f>
        <v>Aborder ce point lors des prochaines réunions avec les parties prenantes car les délais objectivés sont difficilement attteints</v>
      </c>
      <c r="G34" s="216"/>
    </row>
    <row r="35" spans="1:7" ht="31.5" customHeight="1" x14ac:dyDescent="0.25">
      <c r="A35" s="8">
        <v>7</v>
      </c>
      <c r="B35" s="9" t="str">
        <f>IF(QAD!C17="","",QAD!C17)</f>
        <v>2.2-3.2 : Faire le suivi de la prise en compte des écarts relevés lors de chaque inventaire</v>
      </c>
      <c r="C35" s="9" t="str">
        <f>IF(QAD!D17="","",QAD!D17)</f>
        <v>Améliorer la précision et la justesse des stocks</v>
      </c>
      <c r="D35" s="9" t="str">
        <f>IF(QAD!E17="","",QAD!E17)</f>
        <v>Abidjan</v>
      </c>
      <c r="E35" s="204" t="str">
        <f>IF(QAD!F17="","",QAD!F17)</f>
        <v>25 au 31 mai</v>
      </c>
      <c r="F35" s="216" t="str">
        <f>IF(QAD!G17="","",QAD!G17)</f>
        <v/>
      </c>
      <c r="G35" s="216"/>
    </row>
    <row r="36" spans="1:7" ht="31.5" customHeight="1" x14ac:dyDescent="0.25">
      <c r="A36" s="8">
        <v>8</v>
      </c>
      <c r="B36" s="9" t="str">
        <f>IF(QAD!C18="","",QAD!C18)</f>
        <v/>
      </c>
      <c r="C36" s="9" t="str">
        <f>IF(QAD!D18="","",QAD!D18)</f>
        <v/>
      </c>
      <c r="D36" s="9" t="str">
        <f>IF(QAD!E18="","",QAD!E18)</f>
        <v/>
      </c>
      <c r="E36" s="204" t="str">
        <f>IF(QAD!F18="","",QAD!F18)</f>
        <v/>
      </c>
      <c r="F36" s="216" t="str">
        <f>IF(QAD!G18="","",QAD!G18)</f>
        <v/>
      </c>
      <c r="G36" s="216"/>
    </row>
    <row r="38" spans="1:7" ht="18" customHeight="1" x14ac:dyDescent="0.25">
      <c r="A38" s="217" t="s">
        <v>308</v>
      </c>
      <c r="B38" s="217"/>
      <c r="C38" s="217"/>
      <c r="D38" s="217"/>
      <c r="E38" s="217"/>
      <c r="F38" s="217"/>
      <c r="G38" s="217"/>
    </row>
    <row r="39" spans="1:7" ht="21.75" customHeight="1" x14ac:dyDescent="0.25">
      <c r="A39" s="7" t="s">
        <v>29</v>
      </c>
      <c r="B39" s="7" t="s">
        <v>305</v>
      </c>
      <c r="C39" s="7" t="s">
        <v>32</v>
      </c>
      <c r="D39" s="7" t="s">
        <v>33</v>
      </c>
      <c r="E39" s="203" t="s">
        <v>34</v>
      </c>
      <c r="F39" s="207" t="s">
        <v>35</v>
      </c>
      <c r="G39" s="207"/>
    </row>
    <row r="40" spans="1:7" ht="31.5" customHeight="1" x14ac:dyDescent="0.25">
      <c r="A40" s="8">
        <v>3</v>
      </c>
      <c r="B40" s="9" t="str">
        <f>IF(SE!C11="","",SE!C11)</f>
        <v/>
      </c>
      <c r="C40" s="9" t="str">
        <f>IF(SE!D11="","",SE!D11)</f>
        <v/>
      </c>
      <c r="D40" s="9" t="str">
        <f>IF(SE!E11="","",SE!E11)</f>
        <v/>
      </c>
      <c r="E40" s="204" t="str">
        <f>IF(SE!F11="","",SE!F11)</f>
        <v/>
      </c>
      <c r="F40" s="216" t="str">
        <f>IF(SE!G11="","",SE!G11)</f>
        <v/>
      </c>
      <c r="G40" s="216"/>
    </row>
    <row r="41" spans="1:7" ht="31.5" customHeight="1" x14ac:dyDescent="0.25">
      <c r="A41" s="8">
        <v>4</v>
      </c>
      <c r="B41" s="9" t="str">
        <f>IF(SE!C12="","",SE!C12)</f>
        <v/>
      </c>
      <c r="C41" s="9" t="str">
        <f>IF(SE!D12="","",SE!D12)</f>
        <v/>
      </c>
      <c r="D41" s="9" t="str">
        <f>IF(SE!E12="","",SE!E12)</f>
        <v/>
      </c>
      <c r="E41" s="204" t="str">
        <f>IF(SE!F12="","",SE!F12)</f>
        <v/>
      </c>
      <c r="F41" s="216" t="str">
        <f>IF(SE!G12="","",SE!G12)</f>
        <v/>
      </c>
      <c r="G41" s="216"/>
    </row>
    <row r="42" spans="1:7" ht="31.5" customHeight="1" x14ac:dyDescent="0.25">
      <c r="A42" s="8">
        <v>5</v>
      </c>
      <c r="B42" s="9" t="str">
        <f>IF(SE!C13="","",SE!C13)</f>
        <v/>
      </c>
      <c r="C42" s="9" t="str">
        <f>IF(SE!D13="","",SE!D13)</f>
        <v/>
      </c>
      <c r="D42" s="9" t="str">
        <f>IF(SE!E13="","",SE!E13)</f>
        <v/>
      </c>
      <c r="E42" s="204" t="str">
        <f>IF(SE!F13="","",SE!F13)</f>
        <v/>
      </c>
      <c r="F42" s="216" t="str">
        <f>IF(SE!G13="","",SE!G13)</f>
        <v/>
      </c>
      <c r="G42" s="216"/>
    </row>
    <row r="43" spans="1:7" ht="31.5" customHeight="1" x14ac:dyDescent="0.25">
      <c r="A43" s="8">
        <v>6</v>
      </c>
      <c r="B43" s="9" t="str">
        <f>IF(SE!C14="","",SE!C14)</f>
        <v/>
      </c>
      <c r="C43" s="9" t="str">
        <f>IF(SE!D14="","",SE!D14)</f>
        <v/>
      </c>
      <c r="D43" s="9" t="str">
        <f>IF(SE!E14="","",SE!E14)</f>
        <v/>
      </c>
      <c r="E43" s="204" t="str">
        <f>IF(SE!F14="","",SE!F14)</f>
        <v/>
      </c>
      <c r="F43" s="216" t="str">
        <f>IF(SE!G14="","",SE!G14)</f>
        <v/>
      </c>
      <c r="G43" s="216"/>
    </row>
    <row r="44" spans="1:7" ht="31.5" customHeight="1" x14ac:dyDescent="0.25">
      <c r="A44" s="8">
        <v>7</v>
      </c>
      <c r="B44" s="9" t="str">
        <f>IF(SE!C15="","",SE!C15)</f>
        <v/>
      </c>
      <c r="C44" s="9" t="str">
        <f>IF(SE!D15="","",SE!D15)</f>
        <v/>
      </c>
      <c r="D44" s="9" t="str">
        <f>IF(SE!E15="","",SE!E15)</f>
        <v/>
      </c>
      <c r="E44" s="204" t="str">
        <f>IF(SE!F15="","",SE!F15)</f>
        <v/>
      </c>
      <c r="F44" s="216" t="str">
        <f>IF(SE!G15="","",SE!G15)</f>
        <v/>
      </c>
      <c r="G44" s="216"/>
    </row>
    <row r="45" spans="1:7" ht="31.5" customHeight="1" x14ac:dyDescent="0.25">
      <c r="A45" s="8">
        <v>8</v>
      </c>
      <c r="B45" s="9" t="str">
        <f>IF(SE!C16="","",SE!C16)</f>
        <v/>
      </c>
      <c r="C45" s="9" t="str">
        <f>IF(SE!D16="","",SE!D16)</f>
        <v/>
      </c>
      <c r="D45" s="9" t="str">
        <f>IF(SE!E16="","",SE!E16)</f>
        <v/>
      </c>
      <c r="E45" s="204" t="str">
        <f>IF(SE!F16="","",SE!F16)</f>
        <v/>
      </c>
      <c r="F45" s="216" t="str">
        <f>IF(SE!G16="","",SE!G16)</f>
        <v/>
      </c>
      <c r="G45" s="216"/>
    </row>
    <row r="47" spans="1:7" ht="18" customHeight="1" x14ac:dyDescent="0.25">
      <c r="A47" s="217" t="s">
        <v>309</v>
      </c>
      <c r="B47" s="217"/>
      <c r="C47" s="217"/>
      <c r="D47" s="217"/>
      <c r="E47" s="217"/>
      <c r="F47" s="217"/>
      <c r="G47" s="217"/>
    </row>
    <row r="48" spans="1:7" ht="21.75" customHeight="1" x14ac:dyDescent="0.25">
      <c r="A48" s="7" t="s">
        <v>29</v>
      </c>
      <c r="B48" s="7" t="s">
        <v>305</v>
      </c>
      <c r="C48" s="7" t="s">
        <v>32</v>
      </c>
      <c r="D48" s="7" t="s">
        <v>33</v>
      </c>
      <c r="E48" s="203" t="s">
        <v>34</v>
      </c>
      <c r="F48" s="207" t="s">
        <v>35</v>
      </c>
      <c r="G48" s="207"/>
    </row>
    <row r="49" spans="1:7" ht="31.5" customHeight="1" x14ac:dyDescent="0.25">
      <c r="A49" s="8">
        <v>1</v>
      </c>
      <c r="B49" s="9" t="str">
        <f>IF(SI!C11="","",SI!C11)</f>
        <v/>
      </c>
      <c r="C49" s="9" t="str">
        <f>IF(SI!D11="","",SI!D11)</f>
        <v/>
      </c>
      <c r="D49" s="9" t="str">
        <f>IF(SI!E11="","",SI!E11)</f>
        <v/>
      </c>
      <c r="E49" s="204" t="str">
        <f>IF(SI!F11="","",SI!F11)</f>
        <v/>
      </c>
      <c r="F49" s="216" t="str">
        <f>IF(SI!G11="","",SI!G11)</f>
        <v/>
      </c>
      <c r="G49" s="216"/>
    </row>
    <row r="50" spans="1:7" ht="31.5" customHeight="1" x14ac:dyDescent="0.25">
      <c r="A50" s="8">
        <v>2</v>
      </c>
      <c r="B50" s="9" t="str">
        <f>IF(SI!C12="","",SI!C12)</f>
        <v/>
      </c>
      <c r="C50" s="9" t="str">
        <f>IF(SI!D12="","",SI!D12)</f>
        <v/>
      </c>
      <c r="D50" s="9" t="str">
        <f>IF(SI!E12="","",SI!E12)</f>
        <v/>
      </c>
      <c r="E50" s="204" t="str">
        <f>IF(SI!F12="","",SI!F12)</f>
        <v/>
      </c>
      <c r="F50" s="216" t="str">
        <f>IF(SI!G12="","",SI!G12)</f>
        <v/>
      </c>
      <c r="G50" s="216"/>
    </row>
    <row r="51" spans="1:7" ht="31.5" customHeight="1" x14ac:dyDescent="0.25">
      <c r="A51" s="8">
        <v>3</v>
      </c>
      <c r="B51" s="9" t="str">
        <f>IF(SI!C13="","",SI!C13)</f>
        <v/>
      </c>
      <c r="C51" s="9" t="str">
        <f>IF(SI!D13="","",SI!D13)</f>
        <v/>
      </c>
      <c r="D51" s="9" t="str">
        <f>IF(SI!E13="","",SI!E13)</f>
        <v/>
      </c>
      <c r="E51" s="204" t="str">
        <f>IF(SI!F13="","",SI!F13)</f>
        <v/>
      </c>
      <c r="F51" s="216" t="str">
        <f>IF(SI!G13="","",SI!G13)</f>
        <v/>
      </c>
      <c r="G51" s="216"/>
    </row>
    <row r="52" spans="1:7" ht="31.5" customHeight="1" x14ac:dyDescent="0.25">
      <c r="A52" s="8">
        <v>4</v>
      </c>
      <c r="B52" s="9" t="str">
        <f>IF(SI!C14="","",SI!C14)</f>
        <v/>
      </c>
      <c r="C52" s="9" t="str">
        <f>IF(SI!D14="","",SI!D14)</f>
        <v/>
      </c>
      <c r="D52" s="9" t="str">
        <f>IF(SI!E14="","",SI!E14)</f>
        <v/>
      </c>
      <c r="E52" s="204" t="str">
        <f>IF(SI!F14="","",SI!F14)</f>
        <v/>
      </c>
      <c r="F52" s="216" t="str">
        <f>IF(SI!G14="","",SI!G14)</f>
        <v/>
      </c>
      <c r="G52" s="216"/>
    </row>
    <row r="53" spans="1:7" ht="31.5" customHeight="1" x14ac:dyDescent="0.25">
      <c r="A53" s="8">
        <v>5</v>
      </c>
      <c r="B53" s="9" t="str">
        <f>IF(SI!C15="","",SI!C15)</f>
        <v/>
      </c>
      <c r="C53" s="9" t="str">
        <f>IF(SI!D15="","",SI!D15)</f>
        <v/>
      </c>
      <c r="D53" s="9" t="str">
        <f>IF(SI!E15="","",SI!E15)</f>
        <v/>
      </c>
      <c r="E53" s="204" t="str">
        <f>IF(SI!F15="","",SI!F15)</f>
        <v/>
      </c>
      <c r="F53" s="216" t="str">
        <f>IF(SI!G15="","",SI!G15)</f>
        <v/>
      </c>
      <c r="G53" s="216"/>
    </row>
    <row r="54" spans="1:7" ht="31.5" customHeight="1" x14ac:dyDescent="0.25">
      <c r="A54" s="8">
        <v>6</v>
      </c>
      <c r="B54" s="9" t="str">
        <f>IF(SI!C16="","",SI!C16)</f>
        <v/>
      </c>
      <c r="C54" s="9" t="str">
        <f>IF(SI!D16="","",SI!D16)</f>
        <v/>
      </c>
      <c r="D54" s="9" t="str">
        <f>IF(SI!E16="","",SI!E16)</f>
        <v/>
      </c>
      <c r="E54" s="204" t="str">
        <f>IF(SI!F16="","",SI!F16)</f>
        <v/>
      </c>
      <c r="F54" s="216" t="str">
        <f>IF(SI!G16="","",SI!G16)</f>
        <v/>
      </c>
      <c r="G54" s="216"/>
    </row>
    <row r="55" spans="1:7" ht="31.5" customHeight="1" x14ac:dyDescent="0.25">
      <c r="A55" s="8">
        <v>7</v>
      </c>
      <c r="B55" s="9" t="str">
        <f>IF(SI!C17="","",SI!C17)</f>
        <v/>
      </c>
      <c r="C55" s="9" t="str">
        <f>IF(SI!D17="","",SI!D17)</f>
        <v/>
      </c>
      <c r="D55" s="9" t="str">
        <f>IF(SI!E17="","",SI!E17)</f>
        <v/>
      </c>
      <c r="E55" s="204" t="str">
        <f>IF(SI!F17="","",SI!F17)</f>
        <v/>
      </c>
      <c r="F55" s="216" t="str">
        <f>IF(SI!G17="","",SI!G17)</f>
        <v/>
      </c>
      <c r="G55" s="216"/>
    </row>
    <row r="56" spans="1:7" ht="31.5" customHeight="1" x14ac:dyDescent="0.25">
      <c r="A56" s="8">
        <v>8</v>
      </c>
      <c r="B56" s="9" t="str">
        <f>IF(SI!C18="","",SI!C18)</f>
        <v/>
      </c>
      <c r="C56" s="9" t="str">
        <f>IF(SI!D18="","",SI!D18)</f>
        <v/>
      </c>
      <c r="D56" s="9" t="str">
        <f>IF(SI!E18="","",SI!E18)</f>
        <v/>
      </c>
      <c r="E56" s="204" t="str">
        <f>IF(SI!F18="","",SI!F18)</f>
        <v/>
      </c>
      <c r="F56" s="216" t="str">
        <f>IF(SI!G18="","",SI!G18)</f>
        <v/>
      </c>
      <c r="G56" s="216"/>
    </row>
    <row r="58" spans="1:7" ht="18" customHeight="1" x14ac:dyDescent="0.25">
      <c r="A58" s="217" t="s">
        <v>310</v>
      </c>
      <c r="B58" s="217"/>
      <c r="C58" s="217"/>
      <c r="D58" s="217"/>
      <c r="E58" s="217"/>
      <c r="F58" s="217"/>
      <c r="G58" s="217"/>
    </row>
    <row r="59" spans="1:7" ht="21.75" customHeight="1" x14ac:dyDescent="0.25">
      <c r="A59" s="7" t="s">
        <v>29</v>
      </c>
      <c r="B59" s="7" t="s">
        <v>305</v>
      </c>
      <c r="C59" s="7" t="s">
        <v>32</v>
      </c>
      <c r="D59" s="7" t="s">
        <v>33</v>
      </c>
      <c r="E59" s="203" t="s">
        <v>34</v>
      </c>
      <c r="F59" s="207" t="s">
        <v>35</v>
      </c>
      <c r="G59" s="207"/>
    </row>
    <row r="60" spans="1:7" ht="31.5" customHeight="1" x14ac:dyDescent="0.25">
      <c r="A60" s="8">
        <v>1</v>
      </c>
      <c r="B60" s="9" t="str">
        <f>IF(FINANCES!C11="","",FINANCES!C11)</f>
        <v>1.11-1.12 : Acquisition de stickers pour le matériel acquis par le projet</v>
      </c>
      <c r="C60" s="9" t="str">
        <f>IF(FINANCES!D11="","",FINANCES!D11)</f>
        <v>Référencer et identifier le matériel acquis dans le cadre du projet LHSPLA</v>
      </c>
      <c r="D60" s="9" t="str">
        <f>IF(FINANCES!E11="","",FINANCES!E11)</f>
        <v>Abidjan</v>
      </c>
      <c r="E60" s="204">
        <f>IF(FINANCES!F11="","",FINANCES!F11)</f>
        <v>46164</v>
      </c>
      <c r="F60" s="216" t="str">
        <f>IF(FINANCES!G11="","",FINANCES!G11)</f>
        <v>Finaliser les code QR</v>
      </c>
      <c r="G60" s="216"/>
    </row>
    <row r="61" spans="1:7" ht="31.5" customHeight="1" x14ac:dyDescent="0.25">
      <c r="A61" s="8">
        <v>2</v>
      </c>
      <c r="B61" s="9" t="str">
        <f>IF(FINANCES!C12="","",FINANCES!C12)</f>
        <v>1.11-1.11 : Equiper le personnel du projet en matériel informatique</v>
      </c>
      <c r="C61" s="9" t="str">
        <f>IF(FINANCES!D12="","",FINANCES!D12)</f>
        <v>Renforcer les capacités opérationnelles et le système d'information de l’équipe projet LHSPLA</v>
      </c>
      <c r="D61" s="9" t="str">
        <f>IF(FINANCES!E12="","",FINANCES!E12)</f>
        <v>Abidjan</v>
      </c>
      <c r="E61" s="204">
        <f>IF(FINANCES!F12="","",FINANCES!F12)</f>
        <v>46164</v>
      </c>
      <c r="F61" s="216" t="str">
        <f>IF(FINANCES!G12="","",FINANCES!G12)</f>
        <v>Finaliser le paiement d'un acompte au fournisseur.</v>
      </c>
      <c r="G61" s="216"/>
    </row>
    <row r="62" spans="1:7" ht="31.5" customHeight="1" x14ac:dyDescent="0.25">
      <c r="A62" s="8">
        <v>3</v>
      </c>
      <c r="B62" s="9" t="str">
        <f>IF(FINANCES!C13="","",FINANCES!C13)</f>
        <v>1.11-1.9 : Rémunération des agents LHSPLA.</v>
      </c>
      <c r="C62" s="9" t="str">
        <f>IF(FINANCES!D13="","",FINANCES!D13)</f>
        <v>Déterminer la quote part de chaque financement dans les refacturation de salaires d'avril à septembre 2026</v>
      </c>
      <c r="D62" s="9" t="str">
        <f>IF(FINANCES!E13="","",FINANCES!E13)</f>
        <v>Abidjan</v>
      </c>
      <c r="E62" s="204">
        <f>IF(FINANCES!F13="","",FINANCES!F13)</f>
        <v>46155</v>
      </c>
      <c r="F62" s="216" t="str">
        <f>IF(FINANCES!G13="","",FINANCES!G13)</f>
        <v>Proposition de quote part
COP=49%
MOP=19%
MCH=32%</v>
      </c>
      <c r="G62" s="216"/>
    </row>
    <row r="63" spans="1:7" ht="31.5" customHeight="1" x14ac:dyDescent="0.25">
      <c r="A63" s="8">
        <v>4</v>
      </c>
      <c r="B63" s="9" t="str">
        <f>IF(FINANCES!C14="","",FINANCES!C14)</f>
        <v>1.11-1.5 : Atelier de formation sur les méthodes de réconciliations des pièces comptables</v>
      </c>
      <c r="C63" s="9" t="str">
        <f>IF(FINANCES!D14="","",FINANCES!D14)</f>
        <v>Création d'un outil permettant de générer des budgets de TDR</v>
      </c>
      <c r="D63" s="9" t="str">
        <f>IF(FINANCES!E14="","",FINANCES!E14)</f>
        <v>Abidjan</v>
      </c>
      <c r="E63" s="204">
        <f>IF(FINANCES!F14="","",FINANCES!F14)</f>
        <v>46164</v>
      </c>
      <c r="F63" s="216" t="str">
        <f>IF(FINANCES!G14="","",FINANCES!G14)</f>
        <v>Cahier de charge transmis au SI
Vidéo demonstrative effectuée
Test de l'outil</v>
      </c>
      <c r="G63" s="216"/>
    </row>
    <row r="64" spans="1:7" ht="31.5" customHeight="1" x14ac:dyDescent="0.25">
      <c r="A64" s="8">
        <v>5</v>
      </c>
      <c r="B64" s="9" t="str">
        <f>IF(FINANCES!C15="","",FINANCES!C15)</f>
        <v>1.11-1.2 : Réaliser des clôtures comptables mensuels</v>
      </c>
      <c r="C64" s="9" t="str">
        <f>IF(FINANCES!D15="","",FINANCES!D15)</f>
        <v>Editer les liquidations d'octobre 2025 à Avril 2026 pour approbation</v>
      </c>
      <c r="D64" s="9" t="str">
        <f>IF(FINANCES!E15="","",FINANCES!E15)</f>
        <v>Abidjan</v>
      </c>
      <c r="E64" s="204">
        <f>IF(FINANCES!F15="","",FINANCES!F15)</f>
        <v>46162</v>
      </c>
      <c r="F64" s="216" t="str">
        <f>IF(FINANCES!G15="","",FINANCES!G15)</f>
        <v>Raport financier présentant les charges et les dépenses effectuées de la période</v>
      </c>
      <c r="G64" s="216"/>
    </row>
    <row r="65" spans="1:7" ht="31.5" customHeight="1" x14ac:dyDescent="0.25">
      <c r="A65" s="8">
        <v>6</v>
      </c>
      <c r="B65" s="9" t="str">
        <f>IF(FINANCES!C16="","",FINANCES!C16)</f>
        <v>1.11-1.2 : Réaliser des clôtures comptables mensuels</v>
      </c>
      <c r="C65" s="9" t="str">
        <f>IF(FINANCES!D16="","",FINANCES!D16)</f>
        <v>Editer les appels de fonds de juin à septembre 2026 pour approbation</v>
      </c>
      <c r="D65" s="9" t="str">
        <f>IF(FINANCES!E16="","",FINANCES!E16)</f>
        <v>Abidjan</v>
      </c>
      <c r="E65" s="204">
        <f>IF(FINANCES!F16="","",FINANCES!F16)</f>
        <v>46162</v>
      </c>
      <c r="F65" s="216" t="str">
        <f>IF(FINANCES!G16="","",FINANCES!G16)</f>
        <v>Appels de fonds de juin à septembre 2026</v>
      </c>
      <c r="G65" s="216"/>
    </row>
    <row r="66" spans="1:7" ht="31.5" customHeight="1" x14ac:dyDescent="0.25">
      <c r="A66" s="8">
        <v>7</v>
      </c>
      <c r="B66" s="9" t="str">
        <f>IF(FINANCES!C17="","",FINANCES!C17)</f>
        <v/>
      </c>
      <c r="C66" s="9" t="str">
        <f>IF(FINANCES!D17="","",FINANCES!D17)</f>
        <v/>
      </c>
      <c r="D66" s="9" t="str">
        <f>IF(FINANCES!E17="","",FINANCES!E17)</f>
        <v/>
      </c>
      <c r="E66" s="204" t="str">
        <f>IF(FINANCES!F17="","",FINANCES!F17)</f>
        <v/>
      </c>
      <c r="F66" s="216" t="str">
        <f>IF(FINANCES!G17="","",FINANCES!G17)</f>
        <v/>
      </c>
      <c r="G66" s="216"/>
    </row>
    <row r="67" spans="1:7" ht="31.5" customHeight="1" x14ac:dyDescent="0.25">
      <c r="A67" s="8">
        <v>8</v>
      </c>
      <c r="B67" s="9" t="str">
        <f>IF(FINANCES!C18="","",FINANCES!C18)</f>
        <v/>
      </c>
      <c r="C67" s="9" t="str">
        <f>IF(FINANCES!D18="","",FINANCES!D18)</f>
        <v/>
      </c>
      <c r="D67" s="9" t="str">
        <f>IF(FINANCES!E18="","",FINANCES!E18)</f>
        <v/>
      </c>
      <c r="E67" s="204" t="str">
        <f>IF(FINANCES!F18="","",FINANCES!F18)</f>
        <v/>
      </c>
      <c r="F67" s="216" t="str">
        <f>IF(FINANCES!G18="","",FINANCES!G18)</f>
        <v/>
      </c>
      <c r="G67" s="216"/>
    </row>
    <row r="69" spans="1:7" ht="18" customHeight="1" x14ac:dyDescent="0.25">
      <c r="A69" s="217" t="s">
        <v>311</v>
      </c>
      <c r="B69" s="217"/>
      <c r="C69" s="217"/>
      <c r="D69" s="217"/>
      <c r="E69" s="217"/>
      <c r="F69" s="217"/>
      <c r="G69" s="217"/>
    </row>
    <row r="70" spans="1:7" ht="21.75" customHeight="1" x14ac:dyDescent="0.25">
      <c r="A70" s="7" t="s">
        <v>29</v>
      </c>
      <c r="B70" s="7" t="s">
        <v>305</v>
      </c>
      <c r="C70" s="7" t="s">
        <v>32</v>
      </c>
      <c r="D70" s="7" t="s">
        <v>33</v>
      </c>
      <c r="E70" s="203" t="s">
        <v>34</v>
      </c>
      <c r="F70" s="207" t="s">
        <v>35</v>
      </c>
      <c r="G70" s="207"/>
    </row>
    <row r="71" spans="1:7" ht="31.5" customHeight="1" x14ac:dyDescent="0.25">
      <c r="A71" s="8">
        <v>1</v>
      </c>
      <c r="B71" s="9" t="str">
        <f>IF(CAC!C11="","",CAC!C11)</f>
        <v>1.4-1.4 : Faire le suivi de la disponibilité des produits de santé communautaires</v>
      </c>
      <c r="C71" s="9" t="str">
        <f>IF(CAC!D11="","",CAC!D11)</f>
        <v>Mission de suivi des recommandations EUV et de coaching des CAC et ASS dans les districts Tiassalé, 2 ESPC 5DR Ahoara et CSU Morokro) caoching au remplissage du registre ASC et au Weekly Report Communautaire. Diffusion du Weekly aux ASS et CAC.</v>
      </c>
      <c r="D71" s="9" t="str">
        <f>IF(CAC!E11="","",CAC!E11)</f>
        <v>DS TIASSALE</v>
      </c>
      <c r="E71" s="204" t="str">
        <f>IF(CAC!F11="","",CAC!F11)</f>
        <v>Du 28 au 29 Mai 2026</v>
      </c>
      <c r="F71" s="216" t="str">
        <f>IF(CAC!G11="","",CAC!G11)</f>
        <v>Continuer le coaching au rapportage et au remplissage correcte du rapport ASC dans e-SIGL</v>
      </c>
      <c r="G71" s="216"/>
    </row>
    <row r="72" spans="1:7" ht="31.5" customHeight="1" x14ac:dyDescent="0.25">
      <c r="A72" s="8">
        <v>2</v>
      </c>
      <c r="B72" s="9" t="str">
        <f>IF(CAC!C12="","",CAC!C12)</f>
        <v>2.2-3.1 : Organiser 3 inventaires des produits traceurs des programmes suivis</v>
      </c>
      <c r="C72" s="9" t="str">
        <f>IF(CAC!D12="","",CAC!D12)</f>
        <v>Réalisation de l'inventaire tournant à l'agence programme du 30 au 31 Mai 2026</v>
      </c>
      <c r="D72" s="9" t="str">
        <f>IF(CAC!E12="","",CAC!E12)</f>
        <v>Agence programme</v>
      </c>
      <c r="E72" s="204" t="str">
        <f>IF(CAC!F12="","",CAC!F12)</f>
        <v>du 16 au 20 Mai 2026</v>
      </c>
      <c r="F72" s="216" t="str">
        <f>IF(CAC!G12="","",CAC!G12)</f>
        <v>Inventaire physique réalisé, finalisation de la justification des écarts et de la redaction du rapport en cours</v>
      </c>
      <c r="G72" s="216"/>
    </row>
    <row r="73" spans="1:7" ht="31.5" customHeight="1" x14ac:dyDescent="0.25">
      <c r="A73" s="8">
        <v>3</v>
      </c>
      <c r="B73" s="9" t="str">
        <f>IF(CAC!C13="","",CAC!C13)</f>
        <v/>
      </c>
      <c r="C73" s="9" t="str">
        <f>IF(CAC!D13="","",CAC!D13)</f>
        <v/>
      </c>
      <c r="D73" s="9" t="str">
        <f>IF(CAC!E13="","",CAC!E13)</f>
        <v/>
      </c>
      <c r="E73" s="204" t="str">
        <f>IF(CAC!F13="","",CAC!F13)</f>
        <v/>
      </c>
      <c r="F73" s="216" t="str">
        <f>IF(CAC!G13="","",CAC!G13)</f>
        <v/>
      </c>
      <c r="G73" s="216"/>
    </row>
    <row r="74" spans="1:7" ht="31.5" customHeight="1" x14ac:dyDescent="0.25">
      <c r="A74" s="8">
        <v>4</v>
      </c>
      <c r="B74" s="9" t="str">
        <f>IF(CAC!C14="","",CAC!C14)</f>
        <v/>
      </c>
      <c r="C74" s="9" t="str">
        <f>IF(CAC!D14="","",CAC!D14)</f>
        <v/>
      </c>
      <c r="D74" s="9" t="str">
        <f>IF(CAC!E14="","",CAC!E14)</f>
        <v/>
      </c>
      <c r="E74" s="204" t="str">
        <f>IF(CAC!F14="","",CAC!F14)</f>
        <v/>
      </c>
      <c r="F74" s="216" t="str">
        <f>IF(CAC!G14="","",CAC!G14)</f>
        <v/>
      </c>
      <c r="G74" s="216"/>
    </row>
    <row r="75" spans="1:7" ht="31.5" customHeight="1" x14ac:dyDescent="0.25">
      <c r="A75" s="8">
        <v>5</v>
      </c>
      <c r="B75" s="9" t="str">
        <f>IF(CAC!C15="","",CAC!C15)</f>
        <v/>
      </c>
      <c r="C75" s="9" t="str">
        <f>IF(CAC!D15="","",CAC!D15)</f>
        <v/>
      </c>
      <c r="D75" s="9" t="str">
        <f>IF(CAC!E15="","",CAC!E15)</f>
        <v/>
      </c>
      <c r="E75" s="204" t="str">
        <f>IF(CAC!F15="","",CAC!F15)</f>
        <v/>
      </c>
      <c r="F75" s="216" t="str">
        <f>IF(CAC!G15="","",CAC!G15)</f>
        <v/>
      </c>
      <c r="G75" s="216"/>
    </row>
    <row r="76" spans="1:7" ht="31.5" customHeight="1" x14ac:dyDescent="0.25">
      <c r="A76" s="8">
        <v>6</v>
      </c>
      <c r="B76" s="9" t="str">
        <f>IF(CAC!C16="","",CAC!C16)</f>
        <v/>
      </c>
      <c r="C76" s="9" t="str">
        <f>IF(CAC!D16="","",CAC!D16)</f>
        <v/>
      </c>
      <c r="D76" s="9" t="str">
        <f>IF(CAC!E16="","",CAC!E16)</f>
        <v/>
      </c>
      <c r="E76" s="204" t="str">
        <f>IF(CAC!F16="","",CAC!F16)</f>
        <v/>
      </c>
      <c r="F76" s="216" t="str">
        <f>IF(CAC!G16="","",CAC!G16)</f>
        <v/>
      </c>
      <c r="G76" s="216"/>
    </row>
    <row r="77" spans="1:7" ht="31.5" customHeight="1" x14ac:dyDescent="0.25">
      <c r="A77" s="8">
        <v>7</v>
      </c>
      <c r="B77" s="9" t="str">
        <f>IF(CAC!C17="","",CAC!C17)</f>
        <v/>
      </c>
      <c r="C77" s="9" t="str">
        <f>IF(CAC!D17="","",CAC!D17)</f>
        <v/>
      </c>
      <c r="D77" s="9" t="str">
        <f>IF(CAC!E17="","",CAC!E17)</f>
        <v/>
      </c>
      <c r="E77" s="204" t="str">
        <f>IF(CAC!F17="","",CAC!F17)</f>
        <v/>
      </c>
      <c r="F77" s="216" t="str">
        <f>IF(CAC!G17="","",CAC!G17)</f>
        <v/>
      </c>
      <c r="G77" s="216"/>
    </row>
    <row r="78" spans="1:7" ht="31.5" customHeight="1" x14ac:dyDescent="0.25">
      <c r="A78" s="8">
        <v>8</v>
      </c>
      <c r="B78" s="9" t="str">
        <f>IF(CAC!C18="","",CAC!C18)</f>
        <v/>
      </c>
      <c r="C78" s="9" t="str">
        <f>IF(CAC!D18="","",CAC!D18)</f>
        <v/>
      </c>
      <c r="D78" s="9" t="str">
        <f>IF(CAC!E18="","",CAC!E18)</f>
        <v/>
      </c>
      <c r="E78" s="204" t="str">
        <f>IF(CAC!F18="","",CAC!F18)</f>
        <v/>
      </c>
      <c r="F78" s="216" t="str">
        <f>IF(CAC!G18="","",CAC!G18)</f>
        <v/>
      </c>
      <c r="G78" s="216"/>
    </row>
    <row r="80" spans="1:7" ht="18" customHeight="1" x14ac:dyDescent="0.25">
      <c r="A80" s="217" t="s">
        <v>312</v>
      </c>
      <c r="B80" s="217"/>
      <c r="C80" s="217"/>
      <c r="D80" s="217"/>
      <c r="E80" s="217"/>
      <c r="F80" s="217"/>
      <c r="G80" s="217"/>
    </row>
    <row r="81" spans="1:7" ht="21.75" customHeight="1" x14ac:dyDescent="0.25">
      <c r="A81" s="7" t="s">
        <v>29</v>
      </c>
      <c r="B81" s="7" t="s">
        <v>305</v>
      </c>
      <c r="C81" s="7" t="s">
        <v>32</v>
      </c>
      <c r="D81" s="7" t="s">
        <v>33</v>
      </c>
      <c r="E81" s="203" t="s">
        <v>34</v>
      </c>
      <c r="F81" s="207" t="s">
        <v>35</v>
      </c>
      <c r="G81" s="207"/>
    </row>
    <row r="82" spans="1:7" ht="31.5" customHeight="1" x14ac:dyDescent="0.25">
      <c r="A82" s="8">
        <v>1</v>
      </c>
      <c r="B82" s="9" t="str">
        <f>IF(COM!C11="","",COM!C11)</f>
        <v/>
      </c>
      <c r="C82" s="9" t="str">
        <f>IF(COM!D11="","",COM!D11)</f>
        <v/>
      </c>
      <c r="D82" s="9" t="str">
        <f>IF(COM!E11="","",COM!E11)</f>
        <v/>
      </c>
      <c r="E82" s="204" t="str">
        <f>IF(COM!F11="","",COM!F11)</f>
        <v/>
      </c>
      <c r="F82" s="216" t="str">
        <f>IF(COM!G11="","",COM!G11)</f>
        <v/>
      </c>
      <c r="G82" s="216"/>
    </row>
    <row r="83" spans="1:7" ht="31.5" customHeight="1" x14ac:dyDescent="0.25">
      <c r="A83" s="8">
        <v>2</v>
      </c>
      <c r="B83" s="9" t="str">
        <f>IF(COM!C12="","",COM!C12)</f>
        <v/>
      </c>
      <c r="C83" s="9" t="str">
        <f>IF(COM!D12="","",COM!D12)</f>
        <v/>
      </c>
      <c r="D83" s="9" t="str">
        <f>IF(COM!E12="","",COM!E12)</f>
        <v/>
      </c>
      <c r="E83" s="204" t="str">
        <f>IF(COM!F12="","",COM!F12)</f>
        <v/>
      </c>
      <c r="F83" s="216" t="str">
        <f>IF(COM!G12="","",COM!G12)</f>
        <v/>
      </c>
      <c r="G83" s="216"/>
    </row>
    <row r="84" spans="1:7" ht="31.5" customHeight="1" x14ac:dyDescent="0.25">
      <c r="A84" s="8">
        <v>3</v>
      </c>
      <c r="B84" s="9" t="str">
        <f>IF(COM!C13="","",COM!C13)</f>
        <v/>
      </c>
      <c r="C84" s="9" t="str">
        <f>IF(COM!D13="","",COM!D13)</f>
        <v/>
      </c>
      <c r="D84" s="9" t="str">
        <f>IF(COM!E13="","",COM!E13)</f>
        <v/>
      </c>
      <c r="E84" s="204" t="str">
        <f>IF(COM!F13="","",COM!F13)</f>
        <v/>
      </c>
      <c r="F84" s="216" t="str">
        <f>IF(COM!G13="","",COM!G13)</f>
        <v/>
      </c>
      <c r="G84" s="216"/>
    </row>
    <row r="85" spans="1:7" ht="31.5" customHeight="1" x14ac:dyDescent="0.25">
      <c r="A85" s="8">
        <v>4</v>
      </c>
      <c r="B85" s="9" t="str">
        <f>IF(COM!C14="","",COM!C14)</f>
        <v/>
      </c>
      <c r="C85" s="9" t="str">
        <f>IF(COM!D14="","",COM!D14)</f>
        <v/>
      </c>
      <c r="D85" s="9" t="str">
        <f>IF(COM!E14="","",COM!E14)</f>
        <v/>
      </c>
      <c r="E85" s="204" t="str">
        <f>IF(COM!F14="","",COM!F14)</f>
        <v/>
      </c>
      <c r="F85" s="216" t="str">
        <f>IF(COM!G14="","",COM!G14)</f>
        <v/>
      </c>
      <c r="G85" s="216"/>
    </row>
    <row r="86" spans="1:7" ht="31.5" customHeight="1" x14ac:dyDescent="0.25">
      <c r="A86" s="8">
        <v>5</v>
      </c>
      <c r="B86" s="9" t="str">
        <f>IF(COM!C15="","",COM!C15)</f>
        <v/>
      </c>
      <c r="C86" s="9" t="str">
        <f>IF(COM!D15="","",COM!D15)</f>
        <v/>
      </c>
      <c r="D86" s="9" t="str">
        <f>IF(COM!E15="","",COM!E15)</f>
        <v/>
      </c>
      <c r="E86" s="204" t="str">
        <f>IF(COM!F15="","",COM!F15)</f>
        <v/>
      </c>
      <c r="F86" s="216" t="str">
        <f>IF(COM!G15="","",COM!G15)</f>
        <v/>
      </c>
      <c r="G86" s="216"/>
    </row>
    <row r="87" spans="1:7" ht="31.5" customHeight="1" x14ac:dyDescent="0.25">
      <c r="A87" s="8">
        <v>6</v>
      </c>
      <c r="B87" s="9" t="str">
        <f>IF(COM!C16="","",COM!C16)</f>
        <v/>
      </c>
      <c r="C87" s="9" t="str">
        <f>IF(COM!D16="","",COM!D16)</f>
        <v/>
      </c>
      <c r="D87" s="9" t="str">
        <f>IF(COM!E16="","",COM!E16)</f>
        <v/>
      </c>
      <c r="E87" s="204" t="str">
        <f>IF(COM!F16="","",COM!F16)</f>
        <v/>
      </c>
      <c r="F87" s="216" t="str">
        <f>IF(COM!G16="","",COM!G16)</f>
        <v/>
      </c>
      <c r="G87" s="216"/>
    </row>
    <row r="88" spans="1:7" ht="31.5" customHeight="1" x14ac:dyDescent="0.25">
      <c r="A88" s="8">
        <v>7</v>
      </c>
      <c r="B88" s="9" t="str">
        <f>IF(COM!C17="","",COM!C17)</f>
        <v/>
      </c>
      <c r="C88" s="9" t="str">
        <f>IF(COM!D17="","",COM!D17)</f>
        <v/>
      </c>
      <c r="D88" s="9" t="str">
        <f>IF(COM!E17="","",COM!E17)</f>
        <v/>
      </c>
      <c r="E88" s="204" t="str">
        <f>IF(COM!F17="","",COM!F17)</f>
        <v/>
      </c>
      <c r="F88" s="216" t="str">
        <f>IF(COM!G17="","",COM!G17)</f>
        <v/>
      </c>
      <c r="G88" s="216"/>
    </row>
    <row r="89" spans="1:7" ht="31.5" customHeight="1" x14ac:dyDescent="0.25">
      <c r="A89" s="8">
        <v>8</v>
      </c>
      <c r="B89" s="9" t="str">
        <f>IF(COM!C18="","",COM!C18)</f>
        <v/>
      </c>
      <c r="C89" s="9" t="str">
        <f>IF(COM!D18="","",COM!D18)</f>
        <v/>
      </c>
      <c r="D89" s="9" t="str">
        <f>IF(COM!E18="","",COM!E18)</f>
        <v/>
      </c>
      <c r="E89" s="204" t="str">
        <f>IF(COM!F18="","",COM!F18)</f>
        <v/>
      </c>
      <c r="F89" s="216" t="str">
        <f>IF(COM!G18="","",COM!G18)</f>
        <v/>
      </c>
      <c r="G89" s="216"/>
    </row>
    <row r="92" spans="1:7" ht="24" customHeight="1" x14ac:dyDescent="0.25">
      <c r="A92" s="215" t="s">
        <v>313</v>
      </c>
      <c r="B92" s="215"/>
      <c r="C92" s="215"/>
      <c r="D92" s="215"/>
      <c r="E92" s="215"/>
      <c r="F92" s="215"/>
      <c r="G92" s="215"/>
    </row>
    <row r="93" spans="1:7" ht="18" customHeight="1" x14ac:dyDescent="0.25">
      <c r="A93" s="213" t="s">
        <v>304</v>
      </c>
      <c r="B93" s="213"/>
      <c r="C93" s="213"/>
      <c r="D93" s="213"/>
      <c r="E93" s="213"/>
      <c r="F93" s="213"/>
      <c r="G93" s="213"/>
    </row>
    <row r="94" spans="1:7" ht="21.75" customHeight="1" x14ac:dyDescent="0.25">
      <c r="A94" s="7" t="s">
        <v>29</v>
      </c>
      <c r="B94" s="7" t="s">
        <v>305</v>
      </c>
      <c r="C94" s="7" t="s">
        <v>32</v>
      </c>
      <c r="D94" s="7" t="s">
        <v>33</v>
      </c>
      <c r="E94" s="203" t="s">
        <v>72</v>
      </c>
      <c r="F94" s="7" t="s">
        <v>73</v>
      </c>
      <c r="G94" s="7" t="s">
        <v>74</v>
      </c>
    </row>
    <row r="95" spans="1:7" ht="27.75" customHeight="1" x14ac:dyDescent="0.25">
      <c r="A95" s="8">
        <v>1</v>
      </c>
      <c r="B95" s="9" t="str">
        <f>IF(CAD!C24="","",CAD!C24)</f>
        <v>1.3-2.3 : Apporter un appui technique et financier aux réunions régionales d'analyse et de mise à niveau des stocks</v>
      </c>
      <c r="C95" s="9" t="str">
        <f>IF(CAD!D24="","",CAD!D24)</f>
        <v xml:space="preserve">-	Faire le point des recommandations ( suivi du taux de redéploiement, etc.) de la dernière réunion 
-	Faciliter la prise en main du “Weekly Report” pour l’analyse des niveaux de stocks au niveau régional et la prise de décision.
-	Effectuer les analyses avec les données disponibles pour une prise de décision
-	Discuter des autres activités et identifier les problèmes à la gestion de la chaîne d’approvisionnement
-	Proposer un plan d’amélioration ( plans de redéploiements)
-	Formuler des recommandations
</v>
      </c>
      <c r="D95" s="9" t="str">
        <f>IF(CAD!E24="","",CAD!E24)</f>
        <v>Régions sanitaires Gbôklê; N'zi et Grands Ponts</v>
      </c>
      <c r="E95" s="204" t="str">
        <f>IF(CAD!F24="","",CAD!F24)</f>
        <v>Du 08 au 12/06/2026</v>
      </c>
      <c r="F95" s="9" t="str">
        <f>IF(CAD!G24="","",CAD!G24)</f>
        <v>❌ NON</v>
      </c>
      <c r="G95" s="9" t="str">
        <f>IF(CAD!H24="","",CAD!H24)</f>
        <v>Activité reprogrammée : 
DS Gbôklê (12/06/2026); 
DS N'zi (date pas encore communiquée); 
GRANDS PONTS  (date pas encore communiquée)</v>
      </c>
    </row>
    <row r="96" spans="1:7" ht="27.75" customHeight="1" x14ac:dyDescent="0.25">
      <c r="A96" s="8">
        <v>2</v>
      </c>
      <c r="B96" s="9" t="str">
        <f>IF(CAD!C26="","",CAD!C26)</f>
        <v>1.3-2.4 : Organiser des rencontres d'orientation logistique au niveau départemental</v>
      </c>
      <c r="C96" s="9" t="str">
        <f>IF(CAD!D26="","",CAD!D26)</f>
        <v>· Présenter et analyser les résultats des activités logistiques au niveau des ESPC : rapportage et qualité des données rapportées ; disponibilités des stocks de produits traceurs et Système d’Alerte Précoce ; Gestion des stocks et utilisation de mSupply ; données de la File Active.
· Identifier les problèmes à la mise en œuvre des activités au niveau des ESPC
· Renforcer les capacités des gestionnaires de pharmacie des ESPC
· Formuler des recommandations</v>
      </c>
      <c r="D96" s="9" t="str">
        <f>IF(CAD!E26="","",CAD!E26)</f>
        <v>DS DIVO; DS DABOU; DS DOROPO et DS Alépé</v>
      </c>
      <c r="E96" s="204" t="str">
        <f>IF(CAD!F26="","",CAD!F26)</f>
        <v>01 au 12/06/2026</v>
      </c>
      <c r="F96" s="9" t="str">
        <f>IF(CAD!G26="","",CAD!G26)</f>
        <v>❌ NON</v>
      </c>
      <c r="G96" s="9" t="str">
        <f>IF(CAD!H26="","",CAD!H26)</f>
        <v>DS DIVO (date pas encore communiquée); 
DS DABOU (date pas encore communiquée)
 DS DOROPO (date pas encore communiquée) et DS Alépé (prévue le 29/05/2026; reprogrammée à une date ultérieure pour conflit de calendrier)</v>
      </c>
    </row>
    <row r="97" spans="1:7" ht="27.75" customHeight="1" x14ac:dyDescent="0.25">
      <c r="A97" s="8">
        <v>3</v>
      </c>
      <c r="B97" s="9" t="str">
        <f>IF(CAD!C27="","",CAD!C27)</f>
        <v>1.3-2.4 : Organiser des rencontres d'orientation logistique au niveau départemental</v>
      </c>
      <c r="C97" s="9" t="str">
        <f>IF(CAD!D27="","",CAD!D27)</f>
        <v>· Présenter et analyser les résultats des activités logistiques au niveau des ESPC des trois derniers mois (Mars,Avril et MAI): rapportage et qualité des données rapportées ; disponibilités des stocks de produits traceurs et Système d’Alerte Précoce ; Gestion des stocks et utilisation de mSupply ; données de la File Active.
· Identifier les problèmes à la mise en œuvre des activités au niveau des ESPC
· Renforcer les capacités des gestionnaires de pharmacie des ESPC
· Formuler des recommandations</v>
      </c>
      <c r="D97" s="9" t="str">
        <f>IF(CAD!E27="","",CAD!E27)</f>
        <v>Korhogo 2, Dikodougou, Niakara, Katiola, Botro, Béoumi, Bouaké nord ouest, Mankono, Yamousoukro, Toumodi, Odiénné, Madinani, Zouan-Hounien, Bloléquin, Zoukougbeu, Vavoua, Issia ,Bouaflé, Kani et Kounahiri</v>
      </c>
      <c r="E97" s="204" t="str">
        <f>IF(CAD!F27="","",CAD!F27)</f>
        <v>08/06/2026 au 19/06/2026</v>
      </c>
      <c r="F97" s="9" t="str">
        <f>IF(CAD!G27="","",CAD!G27)</f>
        <v>❌ NON</v>
      </c>
      <c r="G97" s="9" t="str">
        <f>IF(CAD!H27="","",CAD!H27)</f>
        <v>réception des TDR de 08 sites ; préparation avec les Pharmaciens de Districts pour le bon deroulement de ses rencontres</v>
      </c>
    </row>
    <row r="98" spans="1:7" ht="27.75" customHeight="1" x14ac:dyDescent="0.25">
      <c r="A98" s="8">
        <v>4</v>
      </c>
      <c r="B98" s="9" t="str">
        <f>IF(CAD!C28="","",CAD!C28)</f>
        <v>1.3-2.2 : Organiser des visites d'assistance technique aux acteurs de la chaîne d'approvisionnement décentralisée</v>
      </c>
      <c r="C98" s="9" t="str">
        <f>IF(CAD!D28="","",CAD!D28)</f>
        <v xml:space="preserve">effectuer des visites de sites à faibles resultats, travailler avec le site sur:rapportage et qualité des données rapportées ; disponibilités des stocks de produits traceurs et Système d’Alerte Précoce ; Gestion des stocks et utilisation de mSupply ; données de la File Active.
</v>
      </c>
      <c r="D98" s="9" t="str">
        <f>IF(CAD!E28="","",CAD!E28)</f>
        <v>sites à identifier par PRES dans la zone couverte par CAD BOUAKE</v>
      </c>
      <c r="E98" s="204" t="str">
        <f>IF(CAD!F28="","",CAD!F28)</f>
        <v>du 15/06/26 au 25/06/26</v>
      </c>
      <c r="F98" s="9" t="str">
        <f>IF(CAD!G28="","",CAD!G28)</f>
        <v>❌ NON</v>
      </c>
      <c r="G98" s="9" t="str">
        <f>IF(CAD!H28="","",CAD!H28)</f>
        <v>identification de sites selon des points précis de mauvaises performance</v>
      </c>
    </row>
    <row r="99" spans="1:7" ht="27.75" customHeight="1" x14ac:dyDescent="0.25">
      <c r="A99" s="8">
        <v>5</v>
      </c>
      <c r="B99" s="9" t="str">
        <f>IF(CAD!C29="","",CAD!C29)</f>
        <v>1.2-1.1 : Faire le suivi la complétude et la promptitude des rapports des sites non clients directs (mSupply, …)</v>
      </c>
      <c r="C99" s="9" t="str">
        <f>IF(CAD!D29="","",CAD!D29)</f>
        <v>Assister les sites au rapportage ,dans les délais, des sites clients directs NPSP</v>
      </c>
      <c r="D99" s="9" t="str">
        <f>IF(CAD!E29="","",CAD!E29)</f>
        <v>sites CAD Bouaké</v>
      </c>
      <c r="E99" s="204" t="str">
        <f>IF(CAD!F29="","",CAD!F29)</f>
        <v>du 11/05/26 au 31/05/26</v>
      </c>
      <c r="F99" s="9" t="str">
        <f>IF(CAD!G29="","",CAD!G29)</f>
        <v>❌ NON</v>
      </c>
      <c r="G99" s="9" t="str">
        <f>IF(CAD!H29="","",CAD!H29)</f>
        <v>Disponibilité à 100% des données logistiques pour la prise de décision</v>
      </c>
    </row>
    <row r="100" spans="1:7" ht="27.75" customHeight="1" x14ac:dyDescent="0.25">
      <c r="A100" s="8">
        <v>6</v>
      </c>
      <c r="B100" s="9" t="str">
        <f>IF(CAD!C30="","",CAD!C30)</f>
        <v>1.3-1.2 : Fournir des forfaits de communication et de connexion internet aux structures du niveau central jusqu'au niveau communautaire.</v>
      </c>
      <c r="C100" s="9" t="str">
        <f>IF(CAD!D30="","",CAD!D30)</f>
        <v>maintenir les sites clients directs NPSP dans la flotte pour faciliter la communication</v>
      </c>
      <c r="D100" s="9" t="str">
        <f>IF(CAD!E30="","",CAD!E30)</f>
        <v>CAD Bouaké</v>
      </c>
      <c r="E100" s="204" t="str">
        <f>IF(CAD!F30="","",CAD!F30)</f>
        <v>en continue</v>
      </c>
      <c r="F100" s="9" t="str">
        <f>IF(CAD!G30="","",CAD!G30)</f>
        <v>❌ NON</v>
      </c>
      <c r="G100" s="9" t="str">
        <f>IF(CAD!H30="","",CAD!H30)</f>
        <v>Maintien de tous les numéros des sites dans la flotte compte tenu du turn over des gestionnaires</v>
      </c>
    </row>
    <row r="101" spans="1:7" ht="27.75" customHeight="1" x14ac:dyDescent="0.25">
      <c r="A101" s="8">
        <v>7</v>
      </c>
      <c r="B101" s="9" t="str">
        <f>IF(CAD!C31="","",CAD!C31)</f>
        <v>1.4-1.3 : Apporter un appui technique et financier au district sanitaire pour le suivi de la distribution communautaire</v>
      </c>
      <c r="C101" s="9" t="str">
        <f>IF(CAD!D31="","",CAD!D31)</f>
        <v>Renforcer la disponibilité des CTA et autres ILP en vue d’une meilleure performance de l’ICCM au niveau communautaire</v>
      </c>
      <c r="D101" s="9" t="str">
        <f>IF(CAD!E31="","",CAD!E31)</f>
        <v>CAD Abidjan</v>
      </c>
      <c r="E101" s="204" t="str">
        <f>IF(CAD!F31="","",CAD!F31)</f>
        <v>Du 11/05/2026 au 31/05/2026</v>
      </c>
      <c r="F101" s="9" t="str">
        <f>IF(CAD!G31="","",CAD!G31)</f>
        <v>❌ NON</v>
      </c>
      <c r="G101" s="9" t="str">
        <f>IF(CAD!H31="","",CAD!H31)</f>
        <v>Appui technique à l'élaboration des TDR et à la programmation des visites des DS</v>
      </c>
    </row>
    <row r="102" spans="1:7" ht="27.75" customHeight="1" x14ac:dyDescent="0.25">
      <c r="A102" s="8">
        <v>8</v>
      </c>
      <c r="B102" s="9" t="str">
        <f>IF(CAD!C32="","",CAD!C32)</f>
        <v>1.8-2.1 : Organiser des sessions de formation des acteurs de la chaîne d'approvisionnement</v>
      </c>
      <c r="C102" s="9" t="str">
        <f>IF(CAD!D32="","",CAD!D32)</f>
        <v>Renforcer less capacité techniques des gestionnaires (APGP, IDE et SFDE) des produits de santé des sites péripheriques</v>
      </c>
      <c r="D102" s="9" t="str">
        <f>IF(CAD!E32="","",CAD!E32)</f>
        <v>Yamoussoukro</v>
      </c>
      <c r="E102" s="204" t="str">
        <f>IF(CAD!F32="","",CAD!F32)</f>
        <v>01/06/26 au 06/06/26</v>
      </c>
      <c r="F102" s="9" t="str">
        <f>IF(CAD!G32="","",CAD!G32)</f>
        <v>❌ NON</v>
      </c>
      <c r="G102" s="9" t="str">
        <f>IF(CAD!H32="","",CAD!H32)</f>
        <v>Formation de 30 acteurs (APGP,IDE, SFDE) attendus; des Tests prévus; briefing des formateurs afin de prendre en compte les leçons apprises de la formation du groupe precédant</v>
      </c>
    </row>
    <row r="103" spans="1:7" ht="27.75" customHeight="1" x14ac:dyDescent="0.25">
      <c r="A103" s="8">
        <v>9</v>
      </c>
      <c r="B103" s="9" t="str">
        <f>IF(CAD!C33="","",CAD!C33)</f>
        <v>1.2-1.1 : Faire le suivi la complétude et la promptitude des rapports des sites non clients directs (mSupply, …)</v>
      </c>
      <c r="C103" s="9" t="str">
        <f>IF(CAD!D33="","",CAD!D33)</f>
        <v>améliorer le rapportage des sites périphériques</v>
      </c>
      <c r="D103" s="9" t="str">
        <f>IF(CAD!E33="","",CAD!E33)</f>
        <v>CAD Bouaké</v>
      </c>
      <c r="E103" s="204" t="str">
        <f>IF(CAD!F33="","",CAD!F33)</f>
        <v>Du 18 au 31/05/2026</v>
      </c>
      <c r="F103" s="9" t="str">
        <f>IF(CAD!G33="","",CAD!G33)</f>
        <v>❌ NON</v>
      </c>
      <c r="G103" s="9" t="str">
        <f>IF(CAD!H33="","",CAD!H33)</f>
        <v>sensibiliser les gestionnaires sur la gestion des produits périmés afin d'eviter de les rapportés comme produits disponibles et utilisables</v>
      </c>
    </row>
    <row r="104" spans="1:7" ht="27.75" customHeight="1" x14ac:dyDescent="0.25">
      <c r="A104" s="8">
        <v>10</v>
      </c>
      <c r="B104" s="9" t="str">
        <f>IF(CAD!C34="","",CAD!C34)</f>
        <v>1.3-2.7 : Organiser une orientation des pharmaciens de régions sur le management de la CA</v>
      </c>
      <c r="C104" s="9" t="str">
        <f>IF(CAD!D34="","",CAD!D34)</f>
        <v>Renforcer les compétence en management et en leadership des PR pour assurer la gouvernance efficace et une redevabilité accrue de la chaine d'approvisionnement pharmaceutique décentralisée</v>
      </c>
      <c r="D104" s="9" t="str">
        <f>IF(CAD!E34="","",CAD!E34)</f>
        <v>YAMOUSOUKRO</v>
      </c>
      <c r="E104" s="204" t="str">
        <f>IF(CAD!F34="","",CAD!F34)</f>
        <v>08 au 12/06/2026</v>
      </c>
      <c r="F104" s="9" t="str">
        <f>IF(CAD!G34="","",CAD!G34)</f>
        <v>❌ NON</v>
      </c>
      <c r="G104" s="9" t="str">
        <f>IF(CAD!H34="","",CAD!H34)</f>
        <v>Elaboration des plan de contingence des 10 régions participants afin d'améliorer la disponibilité des produits de santé dans leurs points de prestations de service.                                Partage d'expériences et de bonnes pratiques de gestion de chaine d'approvisionnement</v>
      </c>
    </row>
    <row r="106" spans="1:7" ht="18" customHeight="1" x14ac:dyDescent="0.25">
      <c r="A106" s="213" t="s">
        <v>314</v>
      </c>
      <c r="B106" s="213"/>
      <c r="C106" s="213"/>
      <c r="D106" s="213"/>
      <c r="E106" s="213"/>
      <c r="F106" s="213"/>
      <c r="G106" s="213"/>
    </row>
    <row r="107" spans="1:7" ht="21.75" customHeight="1" x14ac:dyDescent="0.25">
      <c r="A107" s="7" t="s">
        <v>29</v>
      </c>
      <c r="B107" s="7" t="s">
        <v>305</v>
      </c>
      <c r="C107" s="7" t="s">
        <v>32</v>
      </c>
      <c r="D107" s="7" t="s">
        <v>33</v>
      </c>
      <c r="E107" s="203" t="s">
        <v>72</v>
      </c>
      <c r="F107" s="7" t="s">
        <v>73</v>
      </c>
      <c r="G107" s="7" t="s">
        <v>74</v>
      </c>
    </row>
    <row r="108" spans="1:7" ht="27.75" customHeight="1" x14ac:dyDescent="0.25">
      <c r="A108" s="8">
        <v>1</v>
      </c>
      <c r="B108" s="9" t="str">
        <f>IF(PMO!C24="","",PMO!C24)</f>
        <v>1.11-3.2 : Organiser des réunions mensuelles du bilan de la performance du projet</v>
      </c>
      <c r="C108" s="9" t="str">
        <f>IF(PMO!D24="","",PMO!D24)</f>
        <v>Faire le reporting détaillé des activités du projet sur le mois précédent par acteur</v>
      </c>
      <c r="D108" s="9" t="str">
        <f>IF(PMO!E24="","",PMO!E24)</f>
        <v>Abidjan Nouvelle PSP-CI</v>
      </c>
      <c r="E108" s="204">
        <f>IF(PMO!F24="","",PMO!F24)</f>
        <v>46189</v>
      </c>
      <c r="F108" s="9" t="str">
        <f>IF(PMO!G24="","",PMO!G24)</f>
        <v>❌ NON</v>
      </c>
      <c r="G108" s="9" t="str">
        <f>IF(PMO!H24="","",PMO!H24)</f>
        <v>*Réunion mois de juin 2026
*Causes de la non-réalisation des activités
*Résolution des insatisfactions</v>
      </c>
    </row>
    <row r="109" spans="1:7" ht="27.75" customHeight="1" x14ac:dyDescent="0.25">
      <c r="A109" s="8">
        <v>2</v>
      </c>
      <c r="B109" s="9" t="str">
        <f>IF(PMO!C25="","",PMO!C25)</f>
        <v>1.11-4.1 : Faire la maintenance annuelle ORCHESTRA</v>
      </c>
      <c r="C109" s="9" t="str">
        <f>IF(PMO!D25="","",PMO!D25)</f>
        <v>Maintenance annuelle et assistance pour le logiciel de suivi du projet LHSPLA</v>
      </c>
      <c r="D109" s="9" t="str">
        <f>IF(PMO!E25="","",PMO!E25)</f>
        <v>Abidjan Nouvelle PSP-CI</v>
      </c>
      <c r="E109" s="204" t="str">
        <f>IF(PMO!F25="","",PMO!F25)</f>
        <v/>
      </c>
      <c r="F109" s="9" t="str">
        <f>IF(PMO!G25="","",PMO!G25)</f>
        <v>❌ NON</v>
      </c>
      <c r="G109" s="9" t="str">
        <f>IF(PMO!H25="","",PMO!H25)</f>
        <v>*Aucune suite pour le paiement de la maintenance
*Risque de bugs lors d'utilisation de Orchestra</v>
      </c>
    </row>
    <row r="110" spans="1:7" ht="27.75" customHeight="1" x14ac:dyDescent="0.25">
      <c r="A110" s="8">
        <v>3</v>
      </c>
      <c r="B110" s="9" t="str">
        <f>IF(PMO!C26="","",PMO!C26)</f>
        <v>1.8-3.1 : Appuyer les gestionnaires des structures sanitaires publiques dans le cadre de leurs activités</v>
      </c>
      <c r="C110" s="9" t="str">
        <f>IF(PMO!D26="","",PMO!D26)</f>
        <v>Amélioration des compétences du pool de formateurs pour des formations et des coachings de qualité fait à l'endroit des gestionnaires des structures sanitaires publiques</v>
      </c>
      <c r="D110" s="9" t="str">
        <f>IF(PMO!E26="","",PMO!E26)</f>
        <v>Yamoussoukro</v>
      </c>
      <c r="E110" s="204" t="str">
        <f>IF(PMO!F26="","",PMO!F26)</f>
        <v>Date à définir</v>
      </c>
      <c r="F110" s="9" t="str">
        <f>IF(PMO!G26="","",PMO!G26)</f>
        <v>❌ NON</v>
      </c>
      <c r="G110" s="9" t="str">
        <f>IF(PMO!H26="","",PMO!H26)</f>
        <v>Apprentissage de l'andragogie. en deux phases : phase pratique et phase théorique</v>
      </c>
    </row>
    <row r="111" spans="1:7" ht="27.75" customHeight="1" x14ac:dyDescent="0.25">
      <c r="A111" s="8">
        <v>4</v>
      </c>
      <c r="B111" s="9" t="str">
        <f>IF(PMO!C27="","",PMO!C27)</f>
        <v>1.11-3.1 : Compiler mensuellement les rapports de progression dans le logiciel ORCHESTRA</v>
      </c>
      <c r="C111" s="9" t="str">
        <f>IF(PMO!D27="","",PMO!D27)</f>
        <v>Orchestra est à jour</v>
      </c>
      <c r="D111" s="9" t="str">
        <f>IF(PMO!E27="","",PMO!E27)</f>
        <v>Abidjan Nouvelle PSP-CI</v>
      </c>
      <c r="E111" s="204" t="str">
        <f>IF(PMO!F27="","",PMO!F27)</f>
        <v>du 04 au 05/06/2026</v>
      </c>
      <c r="F111" s="9" t="str">
        <f>IF(PMO!G27="","",PMO!G27)</f>
        <v>❌ NON</v>
      </c>
      <c r="G111" s="9" t="str">
        <f>IF(PMO!H27="","",PMO!H27)</f>
        <v>Extraction des niveaux d'avancement par entité et transmission des extractions à chaque entité</v>
      </c>
    </row>
    <row r="112" spans="1:7" ht="27.75" customHeight="1" x14ac:dyDescent="0.25">
      <c r="A112" s="8">
        <v>5</v>
      </c>
      <c r="B112" s="9" t="str">
        <f>IF(PMO!C28="","",PMO!C28)</f>
        <v/>
      </c>
      <c r="C112" s="9" t="str">
        <f>IF(PMO!D28="","",PMO!D28)</f>
        <v/>
      </c>
      <c r="D112" s="9" t="str">
        <f>IF(PMO!E28="","",PMO!E28)</f>
        <v/>
      </c>
      <c r="E112" s="204" t="str">
        <f>IF(PMO!F28="","",PMO!F28)</f>
        <v/>
      </c>
      <c r="F112" s="9" t="str">
        <f>IF(PMO!G28="","",PMO!G28)</f>
        <v/>
      </c>
      <c r="G112" s="9" t="str">
        <f>IF(PMO!H28="","",PMO!H28)</f>
        <v/>
      </c>
    </row>
    <row r="113" spans="1:7" ht="27.75" customHeight="1" x14ac:dyDescent="0.25">
      <c r="A113" s="8">
        <v>6</v>
      </c>
      <c r="B113" s="9" t="str">
        <f>IF(PMO!C29="","",PMO!C29)</f>
        <v/>
      </c>
      <c r="C113" s="9" t="str">
        <f>IF(PMO!D29="","",PMO!D29)</f>
        <v/>
      </c>
      <c r="D113" s="9" t="str">
        <f>IF(PMO!E29="","",PMO!E29)</f>
        <v/>
      </c>
      <c r="E113" s="204" t="str">
        <f>IF(PMO!F29="","",PMO!F29)</f>
        <v/>
      </c>
      <c r="F113" s="9" t="str">
        <f>IF(PMO!G29="","",PMO!G29)</f>
        <v/>
      </c>
      <c r="G113" s="9" t="str">
        <f>IF(PMO!H29="","",PMO!H29)</f>
        <v/>
      </c>
    </row>
    <row r="114" spans="1:7" ht="27.75" customHeight="1" x14ac:dyDescent="0.25">
      <c r="A114" s="8">
        <v>7</v>
      </c>
      <c r="B114" s="9" t="str">
        <f>IF(PMO!C30="","",PMO!C30)</f>
        <v/>
      </c>
      <c r="C114" s="9" t="str">
        <f>IF(PMO!D30="","",PMO!D30)</f>
        <v/>
      </c>
      <c r="D114" s="9" t="str">
        <f>IF(PMO!E30="","",PMO!E30)</f>
        <v/>
      </c>
      <c r="E114" s="204" t="str">
        <f>IF(PMO!F30="","",PMO!F30)</f>
        <v/>
      </c>
      <c r="F114" s="9" t="str">
        <f>IF(PMO!G30="","",PMO!G30)</f>
        <v/>
      </c>
      <c r="G114" s="9" t="str">
        <f>IF(PMO!H30="","",PMO!H30)</f>
        <v/>
      </c>
    </row>
    <row r="115" spans="1:7" ht="27.75" customHeight="1" x14ac:dyDescent="0.25">
      <c r="A115" s="8">
        <v>8</v>
      </c>
      <c r="B115" s="9" t="str">
        <f>IF(PMO!C31="","",PMO!C31)</f>
        <v/>
      </c>
      <c r="C115" s="9" t="str">
        <f>IF(PMO!D31="","",PMO!D31)</f>
        <v/>
      </c>
      <c r="D115" s="9" t="str">
        <f>IF(PMO!E31="","",PMO!E31)</f>
        <v/>
      </c>
      <c r="E115" s="204" t="str">
        <f>IF(PMO!F31="","",PMO!F31)</f>
        <v/>
      </c>
      <c r="F115" s="9" t="str">
        <f>IF(PMO!G31="","",PMO!G31)</f>
        <v/>
      </c>
      <c r="G115" s="9" t="str">
        <f>IF(PMO!H31="","",PMO!H31)</f>
        <v/>
      </c>
    </row>
    <row r="116" spans="1:7" ht="27.75" customHeight="1" x14ac:dyDescent="0.25">
      <c r="A116" s="8">
        <v>9</v>
      </c>
      <c r="B116" s="9" t="str">
        <f>IF(PMO!C32="","",PMO!C32)</f>
        <v/>
      </c>
      <c r="C116" s="9" t="str">
        <f>IF(PMO!D32="","",PMO!D32)</f>
        <v/>
      </c>
      <c r="D116" s="9" t="str">
        <f>IF(PMO!E32="","",PMO!E32)</f>
        <v/>
      </c>
      <c r="E116" s="204" t="str">
        <f>IF(PMO!F32="","",PMO!F32)</f>
        <v/>
      </c>
      <c r="F116" s="9" t="str">
        <f>IF(PMO!G32="","",PMO!G32)</f>
        <v/>
      </c>
      <c r="G116" s="9" t="str">
        <f>IF(PMO!H32="","",PMO!H32)</f>
        <v/>
      </c>
    </row>
    <row r="117" spans="1:7" ht="27.75" customHeight="1" x14ac:dyDescent="0.25">
      <c r="A117" s="8">
        <v>10</v>
      </c>
      <c r="B117" s="9" t="str">
        <f>IF(PMO!C33="","",PMO!C33)</f>
        <v/>
      </c>
      <c r="C117" s="9" t="str">
        <f>IF(PMO!D33="","",PMO!D33)</f>
        <v/>
      </c>
      <c r="D117" s="9" t="str">
        <f>IF(PMO!E33="","",PMO!E33)</f>
        <v/>
      </c>
      <c r="E117" s="204" t="str">
        <f>IF(PMO!F33="","",PMO!F33)</f>
        <v/>
      </c>
      <c r="F117" s="9" t="str">
        <f>IF(PMO!G33="","",PMO!G33)</f>
        <v/>
      </c>
      <c r="G117" s="9" t="str">
        <f>IF(PMO!H33="","",PMO!H33)</f>
        <v/>
      </c>
    </row>
    <row r="119" spans="1:7" ht="18" customHeight="1" x14ac:dyDescent="0.25">
      <c r="A119" s="214" t="s">
        <v>307</v>
      </c>
      <c r="B119" s="214"/>
      <c r="C119" s="214"/>
      <c r="D119" s="214"/>
      <c r="E119" s="214"/>
      <c r="F119" s="214"/>
      <c r="G119" s="214"/>
    </row>
    <row r="120" spans="1:7" ht="21.75" customHeight="1" x14ac:dyDescent="0.25">
      <c r="A120" s="7" t="s">
        <v>29</v>
      </c>
      <c r="B120" s="7" t="s">
        <v>305</v>
      </c>
      <c r="C120" s="7" t="s">
        <v>32</v>
      </c>
      <c r="D120" s="7" t="s">
        <v>33</v>
      </c>
      <c r="E120" s="203" t="s">
        <v>72</v>
      </c>
      <c r="F120" s="7" t="s">
        <v>73</v>
      </c>
      <c r="G120" s="7" t="s">
        <v>74</v>
      </c>
    </row>
    <row r="121" spans="1:7" ht="27.75" customHeight="1" x14ac:dyDescent="0.25">
      <c r="A121" s="8">
        <v>1</v>
      </c>
      <c r="B121" s="9" t="str">
        <f>IF(QAD!C24="","",QAD!C24)</f>
        <v>1.1-6.1 : Apporter une assistance technique pour l'organisation d'un atelier de préquantification des médicaments pour la prise en charge de la santé de la Mère et de l'enfant.</v>
      </c>
      <c r="C121" s="9" t="str">
        <f>IF(QAD!D24="","",QAD!D24)</f>
        <v>Disponibilité des données et hypothèses nécessaires à la prévision des besoins en médicaments de la santé de la mère et de l'enfant</v>
      </c>
      <c r="D121" s="9" t="str">
        <f>IF(QAD!E24="","",QAD!E24)</f>
        <v>Bassam</v>
      </c>
      <c r="E121" s="204" t="str">
        <f>IF(QAD!F24="","",QAD!F24)</f>
        <v>01 au 04 juin 2026</v>
      </c>
      <c r="F121" s="9" t="str">
        <f>IF(QAD!G24="","",QAD!G24)</f>
        <v>✅ OUI</v>
      </c>
      <c r="G121" s="9" t="str">
        <f>IF(QAD!H24="","",QAD!H24)</f>
        <v/>
      </c>
    </row>
    <row r="122" spans="1:7" ht="27.75" customHeight="1" x14ac:dyDescent="0.25">
      <c r="A122" s="8">
        <v>2</v>
      </c>
      <c r="B122" s="9" t="str">
        <f>IF(QAD!C25="","",QAD!C25)</f>
        <v>1.1-6.2 : Apporter une assistance technique pour l'organisation d'un atelier de quantification des médicaments pour la prise en charge de la santé de la Mère et de l'enfant.</v>
      </c>
      <c r="C122" s="9" t="str">
        <f>IF(QAD!D25="","",QAD!D25)</f>
        <v>Disponibilité des plans d'approvisionnements pour les besoins de la période 2027-2028</v>
      </c>
      <c r="D122" s="9" t="str">
        <f>IF(QAD!E25="","",QAD!E25)</f>
        <v>Yamoussoukro</v>
      </c>
      <c r="E122" s="204" t="str">
        <f>IF(QAD!F25="","",QAD!F25)</f>
        <v>15 au 20 juin 2026</v>
      </c>
      <c r="F122" s="9" t="str">
        <f>IF(QAD!G25="","",QAD!G25)</f>
        <v>✅ OUI</v>
      </c>
      <c r="G122" s="9" t="str">
        <f>IF(QAD!H25="","",QAD!H25)</f>
        <v/>
      </c>
    </row>
    <row r="123" spans="1:7" ht="27.75" customHeight="1" x14ac:dyDescent="0.25">
      <c r="A123" s="8">
        <v>3</v>
      </c>
      <c r="B123" s="9" t="str">
        <f>IF(QAD!C26="","",QAD!C26)</f>
        <v>2.6-5.2 : Réaliser trois missions de supervision pour les laboratoires de charge virale</v>
      </c>
      <c r="C123" s="9" t="str">
        <f>IF(QAD!D26="","",QAD!D26)</f>
        <v>Renforcement des capacités des gestionnaires de pharmacie et des techniciens de laboratoire dans la gestion des produits de la charge virale /EID</v>
      </c>
      <c r="D123" s="9" t="str">
        <f>IF(QAD!E26="","",QAD!E26)</f>
        <v>KORHOGO-BOUAKE-DALOA</v>
      </c>
      <c r="E123" s="204" t="str">
        <f>IF(QAD!F26="","",QAD!F26)</f>
        <v>07 au 13 juin 2026</v>
      </c>
      <c r="F123" s="9" t="str">
        <f>IF(QAD!G26="","",QAD!G26)</f>
        <v>❌ NON</v>
      </c>
      <c r="G123" s="9" t="str">
        <f>IF(QAD!H26="","",QAD!H26)</f>
        <v/>
      </c>
    </row>
    <row r="124" spans="1:7" ht="27.75" customHeight="1" x14ac:dyDescent="0.25">
      <c r="A124" s="8">
        <v>4</v>
      </c>
      <c r="B124" s="9" t="str">
        <f>IF(QAD!C27="","",QAD!C27)</f>
        <v>2.6-5.9 : Organiser quatre sessions d'orientation des Acteurs de la gestion logistique</v>
      </c>
      <c r="C124" s="9" t="str">
        <f>IF(QAD!D27="","",QAD!D27)</f>
        <v>Renforcement des capacités des gestionnaires de pharmacie et des techniciens de laboratoire dans la gestion des produits de la charge virale /EID</v>
      </c>
      <c r="D124" s="9" t="str">
        <f>IF(QAD!E27="","",QAD!E27)</f>
        <v>ABIDJAN</v>
      </c>
      <c r="E124" s="204" t="str">
        <f>IF(QAD!F27="","",QAD!F27)</f>
        <v>01-04 juin 2026</v>
      </c>
      <c r="F124" s="9" t="str">
        <f>IF(QAD!G27="","",QAD!G27)</f>
        <v>❌ NON</v>
      </c>
      <c r="G124" s="9" t="str">
        <f>IF(QAD!H27="","",QAD!H27)</f>
        <v/>
      </c>
    </row>
    <row r="125" spans="1:7" ht="27.75" customHeight="1" x14ac:dyDescent="0.25">
      <c r="A125" s="8">
        <v>5</v>
      </c>
      <c r="B125" s="9" t="str">
        <f>IF(QAD!C28="","",QAD!C28)</f>
        <v>2.6-5.2 : Réaliser trois missions de supervision pour les laboratoires de charge virale</v>
      </c>
      <c r="C125" s="9" t="str">
        <f>IF(QAD!D28="","",QAD!D28)</f>
        <v>Renforcement des capacités des gestionnaires de pharmacie et des techniciens de laboratoire dans la gestion des produits de la charge virale /EID</v>
      </c>
      <c r="D125" s="9" t="str">
        <f>IF(QAD!E28="","",QAD!E28)</f>
        <v>ABENGOUROU</v>
      </c>
      <c r="E125" s="204" t="str">
        <f>IF(QAD!F28="","",QAD!F28)</f>
        <v>17 au 19 juin 2026</v>
      </c>
      <c r="F125" s="9" t="str">
        <f>IF(QAD!G28="","",QAD!G28)</f>
        <v>❌ NON</v>
      </c>
      <c r="G125" s="9" t="str">
        <f>IF(QAD!H28="","",QAD!H28)</f>
        <v/>
      </c>
    </row>
    <row r="126" spans="1:7" ht="27.75" customHeight="1" x14ac:dyDescent="0.25">
      <c r="A126" s="8">
        <v>6</v>
      </c>
      <c r="B126" s="9" t="str">
        <f>IF(QAD!C29="","",QAD!C29)</f>
        <v>2.2-1.2 : Faire un suivi hebdomadaire des entrées en machine des produits de programme</v>
      </c>
      <c r="C126" s="9" t="str">
        <f>IF(QAD!D29="","",QAD!D29)</f>
        <v>Améliorer la disponibilité des produits au niveau des Agences de distribution</v>
      </c>
      <c r="D126" s="9" t="str">
        <f>IF(QAD!E29="","",QAD!E29)</f>
        <v>Abidjan</v>
      </c>
      <c r="E126" s="204" t="str">
        <f>IF(QAD!F29="","",QAD!F29)</f>
        <v>25 au 31 mai</v>
      </c>
      <c r="F126" s="9" t="str">
        <f>IF(QAD!G29="","",QAD!G29)</f>
        <v>❌ NON</v>
      </c>
      <c r="G126" s="9" t="str">
        <f>IF(QAD!H29="","",QAD!H29)</f>
        <v/>
      </c>
    </row>
    <row r="127" spans="1:7" ht="27.75" customHeight="1" x14ac:dyDescent="0.25">
      <c r="A127" s="8">
        <v>7</v>
      </c>
      <c r="B127" s="9" t="str">
        <f>IF(QAD!C30="","",QAD!C30)</f>
        <v>2.2-3.2 : Faire le suivi de la prise en compte des écarts relevés lors de chaque inventaire</v>
      </c>
      <c r="C127" s="9" t="str">
        <f>IF(QAD!D30="","",QAD!D30)</f>
        <v>Améliorer la précision et la justesse des stocks</v>
      </c>
      <c r="D127" s="9" t="str">
        <f>IF(QAD!E30="","",QAD!E30)</f>
        <v>Abidjan</v>
      </c>
      <c r="E127" s="204" t="str">
        <f>IF(QAD!F30="","",QAD!F30)</f>
        <v>25 au 31 mai</v>
      </c>
      <c r="F127" s="9" t="str">
        <f>IF(QAD!G30="","",QAD!G30)</f>
        <v>❌ NON</v>
      </c>
      <c r="G127" s="9" t="str">
        <f>IF(QAD!H30="","",QAD!H30)</f>
        <v/>
      </c>
    </row>
    <row r="128" spans="1:7" ht="27.75" customHeight="1" x14ac:dyDescent="0.25">
      <c r="A128" s="8">
        <v>8</v>
      </c>
      <c r="B128" s="9" t="str">
        <f>IF(QAD!C31="","",QAD!C31)</f>
        <v>2.2-2.2 : Faire le suivi hebdomadaire de l'exécution du plan de réapprovisionnement</v>
      </c>
      <c r="C128" s="9" t="str">
        <f>IF(QAD!D31="","",QAD!D31)</f>
        <v>Améliorer la disponibilité des produits dans les agences de distribution</v>
      </c>
      <c r="D128" s="9" t="str">
        <f>IF(QAD!E31="","",QAD!E31)</f>
        <v>Abidjan</v>
      </c>
      <c r="E128" s="204" t="str">
        <f>IF(QAD!F31="","",QAD!F31)</f>
        <v>25 au 31 mai</v>
      </c>
      <c r="F128" s="9" t="str">
        <f>IF(QAD!G31="","",QAD!G31)</f>
        <v>❌ NON</v>
      </c>
      <c r="G128" s="9" t="str">
        <f>IF(QAD!H31="","",QAD!H31)</f>
        <v/>
      </c>
    </row>
    <row r="129" spans="1:7" ht="27.75" customHeight="1" x14ac:dyDescent="0.25">
      <c r="A129" s="8">
        <v>9</v>
      </c>
      <c r="B129" s="9" t="str">
        <f>IF(QAD!C32="","",QAD!C32)</f>
        <v>2.6-2.1 : Organiser des reunions quinzomadaires de suivi  des performances de l'Agence Programme</v>
      </c>
      <c r="C129" s="9" t="str">
        <f>IF(QAD!D32="","",QAD!D32)</f>
        <v>Améliorer la disponibité et la distribution des produits des programmes aux sites clients directs</v>
      </c>
      <c r="D129" s="9" t="str">
        <f>IF(QAD!E32="","",QAD!E32)</f>
        <v>Abidjan</v>
      </c>
      <c r="E129" s="204" t="str">
        <f>IF(QAD!F32="","",QAD!F32)</f>
        <v>25 mai au 7 juin</v>
      </c>
      <c r="F129" s="9" t="str">
        <f>IF(QAD!G32="","",QAD!G32)</f>
        <v>❌ NON</v>
      </c>
      <c r="G129" s="9" t="str">
        <f>IF(QAD!H32="","",QAD!H32)</f>
        <v/>
      </c>
    </row>
    <row r="130" spans="1:7" ht="27.75" customHeight="1" x14ac:dyDescent="0.25">
      <c r="A130" s="8">
        <v>10</v>
      </c>
      <c r="B130" s="9" t="str">
        <f>IF(QAD!C33="","",QAD!C33)</f>
        <v>2.2-1.4 : Mettre en place un fichier de suivi intégré de la reception des produits à la levée de quarantaine de ces produits</v>
      </c>
      <c r="C130" s="9" t="str">
        <f>IF(QAD!D33="","",QAD!D33)</f>
        <v>Respect des délais objectivés</v>
      </c>
      <c r="D130" s="9" t="str">
        <f>IF(QAD!E33="","",QAD!E33)</f>
        <v>Abidjan</v>
      </c>
      <c r="E130" s="204" t="str">
        <f>IF(QAD!F33="","",QAD!F33)</f>
        <v>25 mai au 7 juin</v>
      </c>
      <c r="F130" s="9" t="str">
        <f>IF(QAD!G33="","",QAD!G33)</f>
        <v>❌ NON</v>
      </c>
      <c r="G130" s="9" t="str">
        <f>IF(QAD!H33="","",QAD!H33)</f>
        <v/>
      </c>
    </row>
    <row r="132" spans="1:7" ht="18" customHeight="1" x14ac:dyDescent="0.25">
      <c r="A132" s="214" t="s">
        <v>308</v>
      </c>
      <c r="B132" s="214"/>
      <c r="C132" s="214"/>
      <c r="D132" s="214"/>
      <c r="E132" s="214"/>
      <c r="F132" s="214"/>
      <c r="G132" s="214"/>
    </row>
    <row r="133" spans="1:7" ht="21.75" customHeight="1" x14ac:dyDescent="0.25">
      <c r="A133" s="7" t="s">
        <v>29</v>
      </c>
      <c r="B133" s="7" t="s">
        <v>305</v>
      </c>
      <c r="C133" s="7" t="s">
        <v>32</v>
      </c>
      <c r="D133" s="7" t="s">
        <v>33</v>
      </c>
      <c r="E133" s="203" t="s">
        <v>72</v>
      </c>
      <c r="F133" s="7" t="s">
        <v>73</v>
      </c>
      <c r="G133" s="7" t="s">
        <v>74</v>
      </c>
    </row>
    <row r="134" spans="1:7" ht="27.75" customHeight="1" x14ac:dyDescent="0.25">
      <c r="A134" s="8">
        <v>2</v>
      </c>
      <c r="B134" s="9" t="str">
        <f>IF(SE!C22="","",SE!C22)</f>
        <v>1.7-6.5 : Apporter un appui à la mise en oeuvre des recommandations de l'EUV.</v>
      </c>
      <c r="C134" s="9" t="str">
        <f>IF(SE!D22="","",SE!D22)</f>
        <v>Évaluer le niveau de mise en œuvre des recommandations issues de l'EUV 2025 et renforcer les capacités des agents de la chaîne d'approvisionnement dans la gestion des produits antipaludiques au niveau de 10 districts sanitaires identifiés.</v>
      </c>
      <c r="D134" s="9" t="str">
        <f>IF(SE!E22="","",SE!E22)</f>
        <v>MARAHOUE, HAMBOL, GBEKE, LOH-GUIBOUA, IFFOU, AGNEBY-TIASSA</v>
      </c>
      <c r="E134" s="204" t="str">
        <f>IF(SE!F22="","",SE!F22)</f>
        <v>27/05/2026 au 10/06/2026</v>
      </c>
      <c r="F134" s="9" t="str">
        <f>IF(SE!G22="","",SE!G22)</f>
        <v>❌ NON</v>
      </c>
      <c r="G134" s="9" t="str">
        <f>IF(SE!H22="","",SE!H22)</f>
        <v/>
      </c>
    </row>
    <row r="135" spans="1:7" ht="27.75" customHeight="1" x14ac:dyDescent="0.25">
      <c r="A135" s="8">
        <v>3</v>
      </c>
      <c r="B135" s="9" t="str">
        <f>IF(SE!C23="","",SE!C23)</f>
        <v>1.7-3.4 : Déploiement dans 31 régions</v>
      </c>
      <c r="C135" s="9" t="str">
        <f>IF(SE!D23="","",SE!D23)</f>
        <v>Déployer et Former les gestionnaires des établissements sanitaires, en charge de la File Active dans les districts sanitaires des régions de BOUNKANI, GBOKLE, NAWA, GUEMON, HAUT-SASSANDRA, HAMBOL et GÔH, à l’utilisation du SNGFA pour le rapportage et la gestion des données de file active</v>
      </c>
      <c r="D135" s="9" t="str">
        <f>IF(SE!E23="","",SE!E23)</f>
        <v>AGNEBY-TIASSA, N'ZI, MARAHOUE, GOH, GUEMON et HAMBOL</v>
      </c>
      <c r="E135" s="204" t="str">
        <f>IF(SE!F23="","",SE!F23)</f>
        <v>07/06/2026 au 18/06/2026</v>
      </c>
      <c r="F135" s="9" t="str">
        <f>IF(SE!G23="","",SE!G23)</f>
        <v>❌ NON</v>
      </c>
      <c r="G135" s="9" t="str">
        <f>IF(SE!H23="","",SE!H23)</f>
        <v>Quelques ajustements mineurs de l'outil, relatifs aux formulaires de suivi des patients, ont été identifiés et communiqués à Bluesquare par l'équipe LHSPLA.</v>
      </c>
    </row>
    <row r="136" spans="1:7" ht="27.75" customHeight="1" x14ac:dyDescent="0.25">
      <c r="A136" s="8">
        <v>4</v>
      </c>
      <c r="B136" s="9" t="str">
        <f>IF(SE!C24="","",SE!C24)</f>
        <v>1.7-3.4 : Déploiement dans 31 régions</v>
      </c>
      <c r="C136" s="9" t="str">
        <f>IF(SE!D24="","",SE!D24)</f>
        <v>Déployer et Former les gestionnaires des établissements sanitaires, en charge de la File Active dans les districts sanitaires des régions de LOH DJIBOUA, MORONOU,IFFOU, BAGOUE,  GRANDS-PONTS et BAFING, à l’utilisation du SNGFA pour le rapportage et la gestion des données de file active</v>
      </c>
      <c r="D136" s="9" t="str">
        <f>IF(SE!E24="","",SE!E24)</f>
        <v>LOH DJIBOUA ; MORONOU ; IFFOU ; BAGOUE ; GRANDS-PONTS et BAFING</v>
      </c>
      <c r="E136" s="204" t="str">
        <f>IF(SE!F24="","",SE!F24)</f>
        <v>21/06/2026 au 03/07/2026</v>
      </c>
      <c r="F136" s="9" t="str">
        <f>IF(SE!G24="","",SE!G24)</f>
        <v>❌ NON</v>
      </c>
      <c r="G136" s="9" t="str">
        <f>IF(SE!H24="","",SE!H24)</f>
        <v/>
      </c>
    </row>
    <row r="137" spans="1:7" ht="27.75" customHeight="1" x14ac:dyDescent="0.25">
      <c r="A137" s="8">
        <v>5</v>
      </c>
      <c r="B137" s="9" t="str">
        <f>IF(SE!C25="","",SE!C25)</f>
        <v/>
      </c>
      <c r="C137" s="9" t="str">
        <f>IF(SE!D25="","",SE!D25)</f>
        <v/>
      </c>
      <c r="D137" s="9" t="str">
        <f>IF(SE!E25="","",SE!E25)</f>
        <v/>
      </c>
      <c r="E137" s="204" t="str">
        <f>IF(SE!F25="","",SE!F25)</f>
        <v/>
      </c>
      <c r="F137" s="9" t="str">
        <f>IF(SE!G25="","",SE!G25)</f>
        <v/>
      </c>
      <c r="G137" s="9" t="str">
        <f>IF(SE!H25="","",SE!H25)</f>
        <v/>
      </c>
    </row>
    <row r="138" spans="1:7" ht="27.75" customHeight="1" x14ac:dyDescent="0.25">
      <c r="A138" s="8">
        <v>6</v>
      </c>
      <c r="B138" s="9" t="str">
        <f>IF(SE!C26="","",SE!C26)</f>
        <v/>
      </c>
      <c r="C138" s="9" t="str">
        <f>IF(SE!D26="","",SE!D26)</f>
        <v/>
      </c>
      <c r="D138" s="9" t="str">
        <f>IF(SE!E26="","",SE!E26)</f>
        <v/>
      </c>
      <c r="E138" s="204" t="str">
        <f>IF(SE!F26="","",SE!F26)</f>
        <v/>
      </c>
      <c r="F138" s="9" t="str">
        <f>IF(SE!G26="","",SE!G26)</f>
        <v/>
      </c>
      <c r="G138" s="9" t="str">
        <f>IF(SE!H26="","",SE!H26)</f>
        <v/>
      </c>
    </row>
    <row r="139" spans="1:7" ht="27.75" customHeight="1" x14ac:dyDescent="0.25">
      <c r="A139" s="8">
        <v>7</v>
      </c>
      <c r="B139" s="9" t="str">
        <f>IF(SE!C27="","",SE!C27)</f>
        <v/>
      </c>
      <c r="C139" s="9" t="str">
        <f>IF(SE!D27="","",SE!D27)</f>
        <v/>
      </c>
      <c r="D139" s="9" t="str">
        <f>IF(SE!E27="","",SE!E27)</f>
        <v/>
      </c>
      <c r="E139" s="204" t="str">
        <f>IF(SE!F27="","",SE!F27)</f>
        <v/>
      </c>
      <c r="F139" s="9" t="str">
        <f>IF(SE!G27="","",SE!G27)</f>
        <v/>
      </c>
      <c r="G139" s="9" t="str">
        <f>IF(SE!H27="","",SE!H27)</f>
        <v/>
      </c>
    </row>
    <row r="140" spans="1:7" ht="27.75" customHeight="1" x14ac:dyDescent="0.25">
      <c r="A140" s="8">
        <v>8</v>
      </c>
      <c r="B140" s="9" t="str">
        <f>IF(SE!C28="","",SE!C28)</f>
        <v/>
      </c>
      <c r="C140" s="9" t="str">
        <f>IF(SE!D28="","",SE!D28)</f>
        <v/>
      </c>
      <c r="D140" s="9" t="str">
        <f>IF(SE!E28="","",SE!E28)</f>
        <v/>
      </c>
      <c r="E140" s="204" t="str">
        <f>IF(SE!F28="","",SE!F28)</f>
        <v/>
      </c>
      <c r="F140" s="9" t="str">
        <f>IF(SE!G28="","",SE!G28)</f>
        <v/>
      </c>
      <c r="G140" s="9" t="str">
        <f>IF(SE!H28="","",SE!H28)</f>
        <v/>
      </c>
    </row>
    <row r="141" spans="1:7" ht="27.75" customHeight="1" x14ac:dyDescent="0.25">
      <c r="A141" s="8">
        <v>9</v>
      </c>
      <c r="B141" s="9" t="str">
        <f>IF(SE!C29="","",SE!C29)</f>
        <v/>
      </c>
      <c r="C141" s="9" t="str">
        <f>IF(SE!D29="","",SE!D29)</f>
        <v/>
      </c>
      <c r="D141" s="9" t="str">
        <f>IF(SE!E29="","",SE!E29)</f>
        <v/>
      </c>
      <c r="E141" s="204" t="str">
        <f>IF(SE!F29="","",SE!F29)</f>
        <v/>
      </c>
      <c r="F141" s="9" t="str">
        <f>IF(SE!G29="","",SE!G29)</f>
        <v/>
      </c>
      <c r="G141" s="9" t="str">
        <f>IF(SE!H29="","",SE!H29)</f>
        <v/>
      </c>
    </row>
    <row r="142" spans="1:7" ht="27.75" customHeight="1" x14ac:dyDescent="0.25">
      <c r="A142" s="8">
        <v>10</v>
      </c>
      <c r="B142" s="9" t="str">
        <f>IF(SE!C30="","",SE!C30)</f>
        <v/>
      </c>
      <c r="C142" s="9" t="str">
        <f>IF(SE!D30="","",SE!D30)</f>
        <v/>
      </c>
      <c r="D142" s="9" t="str">
        <f>IF(SE!E30="","",SE!E30)</f>
        <v/>
      </c>
      <c r="E142" s="204" t="str">
        <f>IF(SE!F30="","",SE!F30)</f>
        <v/>
      </c>
      <c r="F142" s="9" t="str">
        <f>IF(SE!G30="","",SE!G30)</f>
        <v/>
      </c>
      <c r="G142" s="9" t="str">
        <f>IF(SE!H30="","",SE!H30)</f>
        <v/>
      </c>
    </row>
    <row r="144" spans="1:7" ht="18" customHeight="1" x14ac:dyDescent="0.25">
      <c r="A144" s="214" t="s">
        <v>309</v>
      </c>
      <c r="B144" s="214"/>
      <c r="C144" s="214"/>
      <c r="D144" s="214"/>
      <c r="E144" s="214"/>
      <c r="F144" s="214"/>
      <c r="G144" s="214"/>
    </row>
    <row r="145" spans="1:7" ht="21.75" customHeight="1" x14ac:dyDescent="0.25">
      <c r="A145" s="7" t="s">
        <v>29</v>
      </c>
      <c r="B145" s="7" t="s">
        <v>305</v>
      </c>
      <c r="C145" s="7" t="s">
        <v>32</v>
      </c>
      <c r="D145" s="7" t="s">
        <v>33</v>
      </c>
      <c r="E145" s="203" t="s">
        <v>72</v>
      </c>
      <c r="F145" s="7" t="s">
        <v>73</v>
      </c>
      <c r="G145" s="7" t="s">
        <v>74</v>
      </c>
    </row>
    <row r="146" spans="1:7" ht="27.75" customHeight="1" x14ac:dyDescent="0.25">
      <c r="A146" s="8">
        <v>4</v>
      </c>
      <c r="B146" s="9" t="str">
        <f>IF(SI!C24="","",SI!C24)</f>
        <v>4.2.3.3 : Développer des guides utilisateurs simplifiés</v>
      </c>
      <c r="C146" s="9" t="str">
        <f>IF(SI!D24="","",SI!D24)</f>
        <v>-  Ciblage précis des besoins en formations ;
 -  éviter les sessions génériques peu efficaces  
-  optimiser le budget</v>
      </c>
      <c r="D146" s="9" t="str">
        <f>IF(SI!E24="","",SI!E24)</f>
        <v/>
      </c>
      <c r="E146" s="204" t="str">
        <f>IF(SI!F24="","",SI!F24)</f>
        <v>du 01/06/2026 au 31/06/2026</v>
      </c>
      <c r="F146" s="9" t="str">
        <f>IF(SI!G24="","",SI!G24)</f>
        <v>❌ NON</v>
      </c>
      <c r="G146" s="9" t="str">
        <f>IF(SI!H24="","",SI!H24)</f>
        <v/>
      </c>
    </row>
    <row r="147" spans="1:7" ht="27.75" customHeight="1" x14ac:dyDescent="0.25">
      <c r="A147" s="8">
        <v>5</v>
      </c>
      <c r="B147" s="9" t="str">
        <f>IF(SI!C25="","",SI!C25)</f>
        <v>1.2-3.1 : Equiper la NPSP en équipement informatique</v>
      </c>
      <c r="C147" s="9" t="str">
        <f>IF(SI!D25="","",SI!D25)</f>
        <v xml:space="preserve">Doter la NPSP d’ordinateurs portables </v>
      </c>
      <c r="D147" s="9" t="str">
        <f>IF(SI!E25="","",SI!E25)</f>
        <v/>
      </c>
      <c r="E147" s="204" t="str">
        <f>IF(SI!F25="","",SI!F25)</f>
        <v>du 01/06/2026 au 31/06/2026</v>
      </c>
      <c r="F147" s="9" t="str">
        <f>IF(SI!G25="","",SI!G25)</f>
        <v>❌ NON</v>
      </c>
      <c r="G147" s="9" t="str">
        <f>IF(SI!H25="","",SI!H25)</f>
        <v>Acquisition prévu: 37 ordinateurs
Une premiere acquisition de 14 ordinateurs est  en cours; 
Reste 23 ordinateurs à aquérir</v>
      </c>
    </row>
    <row r="148" spans="1:7" ht="27.75" customHeight="1" x14ac:dyDescent="0.25">
      <c r="A148" s="8">
        <v>6</v>
      </c>
      <c r="B148" s="9" t="str">
        <f>IF(SI!C26="","",SI!C26)</f>
        <v>4.2.5.1 : Réaliser une évaluation diagnostique initial (Data Quality Assessment)</v>
      </c>
      <c r="C148" s="9" t="str">
        <f>IF(SI!D26="","",SI!D26)</f>
        <v>- Mesurer l’exactitude des données (concordance entre les données saisies et les sources primaires).
- Évaluer l’exhaustivité (complétude des enregistrements et des rapports).
- Vérifier la ponctualité (respect des délais de saisie et de transmission).
- Analyser la cohérence des données (absence de contradictions entre les différentes sources et rapports).
- Apprécier l’accessibilité des données (facilité d’accès, disponibilité et utilisation pour la prise de décision).</v>
      </c>
      <c r="D148" s="9" t="str">
        <f>IF(SI!E26="","",SI!E26)</f>
        <v>Les districts sanitaires de Bondoukou, Kani, Niakaramadougou, Sandegué, Yakassé Attobrou, Gagnoa 1, Daloa, Bouafé, Fresco, Dianra</v>
      </c>
      <c r="E148" s="204" t="str">
        <f>IF(SI!F26="","",SI!F26)</f>
        <v>du 08/06/2026 au 12/06/2026</v>
      </c>
      <c r="F148" s="9" t="str">
        <f>IF(SI!G26="","",SI!G26)</f>
        <v>❌ NON</v>
      </c>
      <c r="G148" s="9" t="str">
        <f>IF(SI!H26="","",SI!H26)</f>
        <v/>
      </c>
    </row>
    <row r="149" spans="1:7" ht="27.75" customHeight="1" x14ac:dyDescent="0.25">
      <c r="A149" s="8">
        <v>7</v>
      </c>
      <c r="B149" s="9" t="str">
        <f>IF(SI!C27="","",SI!C27)</f>
        <v>4.2.5.4 : Monitorer à distance les sites identifiés par le DQA – tableau de bord mSupply</v>
      </c>
      <c r="C149" s="9" t="str">
        <f>IF(SI!D27="","",SI!D27)</f>
        <v xml:space="preserve">-  Suivre en temps réel les indicateurs clés de performance des sites sélectionnés.
-  Identifier rapidement les anomalies, incohérences et écarts de données.
-  Évaluer la qualité et la complétude des données saisies dans mSupply.
-  Détecter les sites nécessitant un accompagnement ou des actions correctives.
-  Produire des rapports périodiques de suivi à destination des parties prenantes.
-  Faciliter la prise de décision basée sur les données issues du tableau de bord mSupply. </v>
      </c>
      <c r="D149" s="9" t="str">
        <f>IF(SI!E27="","",SI!E27)</f>
        <v/>
      </c>
      <c r="E149" s="204" t="str">
        <f>IF(SI!F27="","",SI!F27)</f>
        <v>du 15/06/2026 
au 27/06/2026</v>
      </c>
      <c r="F149" s="9" t="str">
        <f>IF(SI!G27="","",SI!G27)</f>
        <v>❌ NON</v>
      </c>
      <c r="G149" s="9" t="str">
        <f>IF(SI!H27="","",SI!H27)</f>
        <v/>
      </c>
    </row>
    <row r="150" spans="1:7" ht="27.75" customHeight="1" x14ac:dyDescent="0.25">
      <c r="A150" s="8">
        <v>8</v>
      </c>
      <c r="B150" s="9" t="str">
        <f>IF(SI!C28="","",SI!C28)</f>
        <v>4.2.4.1 : Cartographier et prioriser les bugs mSupply</v>
      </c>
      <c r="C150" s="9" t="str">
        <f>IF(SI!D28="","",SI!D28)</f>
        <v>-  Recenser et documenter tous les bugs signalés dans mSupply.
-  Classifier les anomalies par module, fonctionnalité et type d'incident.
-  Évaluer l'impact de chaque bug sur les opérations et les utilisateurs.
-  Définir les niveaux de priorité (critique, majeur, mineur, faible).
-  Élaborer une feuille de route de correction en collaboration avec les équipes techniques et métiers.
-  Assurer le suivi de la résolution des anomalies jusqu'à leur clôture.</v>
      </c>
      <c r="D150" s="9" t="str">
        <f>IF(SI!E28="","",SI!E28)</f>
        <v/>
      </c>
      <c r="E150" s="204" t="str">
        <f>IF(SI!F28="","",SI!F28)</f>
        <v>du 01/06/2026 au 31/06/2026</v>
      </c>
      <c r="F150" s="9" t="str">
        <f>IF(SI!G28="","",SI!G28)</f>
        <v>❌ NON</v>
      </c>
      <c r="G150" s="9" t="str">
        <f>IF(SI!H28="","",SI!H28)</f>
        <v/>
      </c>
    </row>
    <row r="151" spans="1:7" ht="27.75" customHeight="1" x14ac:dyDescent="0.25">
      <c r="A151" s="8">
        <v>9</v>
      </c>
      <c r="B151" s="9" t="str">
        <f>IF(SI!C29="","",SI!C29)</f>
        <v/>
      </c>
      <c r="C151" s="9" t="str">
        <f>IF(SI!D29="","",SI!D29)</f>
        <v/>
      </c>
      <c r="D151" s="9" t="str">
        <f>IF(SI!E29="","",SI!E29)</f>
        <v/>
      </c>
      <c r="E151" s="204" t="str">
        <f>IF(SI!F29="","",SI!F29)</f>
        <v/>
      </c>
      <c r="F151" s="9" t="str">
        <f>IF(SI!G29="","",SI!G29)</f>
        <v/>
      </c>
      <c r="G151" s="9" t="str">
        <f>IF(SI!H29="","",SI!H29)</f>
        <v/>
      </c>
    </row>
    <row r="152" spans="1:7" ht="27.75" customHeight="1" x14ac:dyDescent="0.25">
      <c r="A152" s="8">
        <v>10</v>
      </c>
      <c r="B152" s="9" t="str">
        <f>IF(SI!C30="","",SI!C30)</f>
        <v/>
      </c>
      <c r="C152" s="9" t="str">
        <f>IF(SI!D30="","",SI!D30)</f>
        <v/>
      </c>
      <c r="D152" s="9" t="str">
        <f>IF(SI!E30="","",SI!E30)</f>
        <v/>
      </c>
      <c r="E152" s="204" t="str">
        <f>IF(SI!F30="","",SI!F30)</f>
        <v/>
      </c>
      <c r="F152" s="9" t="str">
        <f>IF(SI!G30="","",SI!G30)</f>
        <v/>
      </c>
      <c r="G152" s="9" t="str">
        <f>IF(SI!H30="","",SI!H30)</f>
        <v/>
      </c>
    </row>
    <row r="154" spans="1:7" ht="18" customHeight="1" x14ac:dyDescent="0.25">
      <c r="A154" s="214" t="s">
        <v>310</v>
      </c>
      <c r="B154" s="214"/>
      <c r="C154" s="214"/>
      <c r="D154" s="214"/>
      <c r="E154" s="214"/>
      <c r="F154" s="214"/>
      <c r="G154" s="214"/>
    </row>
    <row r="155" spans="1:7" ht="21.75" customHeight="1" x14ac:dyDescent="0.25">
      <c r="A155" s="7" t="s">
        <v>29</v>
      </c>
      <c r="B155" s="7" t="s">
        <v>305</v>
      </c>
      <c r="C155" s="7" t="s">
        <v>32</v>
      </c>
      <c r="D155" s="7" t="s">
        <v>33</v>
      </c>
      <c r="E155" s="203" t="s">
        <v>72</v>
      </c>
      <c r="F155" s="7" t="s">
        <v>73</v>
      </c>
      <c r="G155" s="7" t="s">
        <v>74</v>
      </c>
    </row>
    <row r="156" spans="1:7" ht="27.75" customHeight="1" x14ac:dyDescent="0.25">
      <c r="A156" s="8">
        <v>1</v>
      </c>
      <c r="B156" s="9" t="str">
        <f>IF(FINANCES!C24="","",FINANCES!C24)</f>
        <v>1.11-1.2 : Réaliser des clôtures comptables mensuels</v>
      </c>
      <c r="C156" s="9" t="str">
        <f>IF(FINANCES!D24="","",FINANCES!D24)</f>
        <v>Produire des états financiers fiables présentant la situation financière du projet à fin avril 2026</v>
      </c>
      <c r="D156" s="9" t="str">
        <f>IF(FINANCES!E24="","",FINANCES!E24)</f>
        <v>NPSP</v>
      </c>
      <c r="E156" s="204">
        <f>IF(FINANCES!F24="","",FINANCES!F24)</f>
        <v>46164</v>
      </c>
      <c r="F156" s="9" t="str">
        <f>IF(FINANCES!G24="","",FINANCES!G24)</f>
        <v>❌ NON</v>
      </c>
      <c r="G156" s="9" t="str">
        <f>IF(FINANCES!H24="","",FINANCES!H24)</f>
        <v>CONTRÔLE DES COMPTES CLES: Charges, produits, tiers</v>
      </c>
    </row>
    <row r="157" spans="1:7" ht="27.75" customHeight="1" x14ac:dyDescent="0.25">
      <c r="A157" s="8">
        <v>2</v>
      </c>
      <c r="B157" s="9" t="str">
        <f>IF(FINANCES!C25="","",FINANCES!C25)</f>
        <v>1.11-1.3 : Réaliser un audit interne</v>
      </c>
      <c r="C157" s="9" t="str">
        <f>IF(FINANCES!D25="","",FINANCES!D25)</f>
        <v>Préparer l'audit financier du projet LHSPLA de l'exercice 2025</v>
      </c>
      <c r="D157" s="9" t="str">
        <f>IF(FINANCES!E25="","",FINANCES!E25)</f>
        <v>NPSP</v>
      </c>
      <c r="E157" s="204">
        <f>IF(FINANCES!F25="","",FINANCES!F25)</f>
        <v>46174</v>
      </c>
      <c r="F157" s="9" t="str">
        <f>IF(FINANCES!G25="","",FINANCES!G25)</f>
        <v>❌ NON</v>
      </c>
      <c r="G157" s="9" t="str">
        <f>IF(FINANCES!H25="","",FINANCES!H25)</f>
        <v xml:space="preserve">L'activité sera effectué avec un cabinet </v>
      </c>
    </row>
    <row r="158" spans="1:7" ht="27.75" customHeight="1" x14ac:dyDescent="0.25">
      <c r="A158" s="8">
        <v>3</v>
      </c>
      <c r="B158" s="9" t="str">
        <f>IF(FINANCES!C26="","",FINANCES!C26)</f>
        <v>1.11-1.1 : Organiser une mission de collecte et de réconciliation des pièces sur le terrain</v>
      </c>
      <c r="C158" s="9" t="str">
        <f>IF(FINANCES!D26="","",FINANCES!D26)</f>
        <v>Collecter les pièces et finaliser les reconciliations des appuis aux sites décentralisés</v>
      </c>
      <c r="D158" s="9" t="str">
        <f>IF(FINANCES!E26="","",FINANCES!E26)</f>
        <v>NPSP</v>
      </c>
      <c r="E158" s="204">
        <f>IF(FINANCES!F26="","",FINANCES!F26)</f>
        <v>46174</v>
      </c>
      <c r="F158" s="9" t="str">
        <f>IF(FINANCES!G26="","",FINANCES!G26)</f>
        <v>❌ NON</v>
      </c>
      <c r="G158" s="9" t="str">
        <f>IF(FINANCES!H26="","",FINANCES!H26)</f>
        <v/>
      </c>
    </row>
    <row r="159" spans="1:7" ht="27.75" customHeight="1" x14ac:dyDescent="0.25">
      <c r="A159" s="8">
        <v>4</v>
      </c>
      <c r="B159" s="9" t="str">
        <f>IF(FINANCES!C27="","",FINANCES!C27)</f>
        <v/>
      </c>
      <c r="C159" s="9" t="str">
        <f>IF(FINANCES!D27="","",FINANCES!D27)</f>
        <v/>
      </c>
      <c r="D159" s="9" t="str">
        <f>IF(FINANCES!E27="","",FINANCES!E27)</f>
        <v/>
      </c>
      <c r="E159" s="204" t="str">
        <f>IF(FINANCES!F27="","",FINANCES!F27)</f>
        <v/>
      </c>
      <c r="F159" s="9" t="str">
        <f>IF(FINANCES!G27="","",FINANCES!G27)</f>
        <v/>
      </c>
      <c r="G159" s="9" t="str">
        <f>IF(FINANCES!H27="","",FINANCES!H27)</f>
        <v/>
      </c>
    </row>
    <row r="160" spans="1:7" ht="27.75" customHeight="1" x14ac:dyDescent="0.25">
      <c r="A160" s="8">
        <v>5</v>
      </c>
      <c r="B160" s="9" t="str">
        <f>IF(FINANCES!C28="","",FINANCES!C28)</f>
        <v/>
      </c>
      <c r="C160" s="9" t="str">
        <f>IF(FINANCES!D28="","",FINANCES!D28)</f>
        <v/>
      </c>
      <c r="D160" s="9" t="str">
        <f>IF(FINANCES!E28="","",FINANCES!E28)</f>
        <v/>
      </c>
      <c r="E160" s="204" t="str">
        <f>IF(FINANCES!F28="","",FINANCES!F28)</f>
        <v/>
      </c>
      <c r="F160" s="9" t="str">
        <f>IF(FINANCES!G28="","",FINANCES!G28)</f>
        <v/>
      </c>
      <c r="G160" s="9" t="str">
        <f>IF(FINANCES!H28="","",FINANCES!H28)</f>
        <v/>
      </c>
    </row>
    <row r="161" spans="1:7" ht="27.75" customHeight="1" x14ac:dyDescent="0.25">
      <c r="A161" s="8">
        <v>6</v>
      </c>
      <c r="B161" s="9" t="str">
        <f>IF(FINANCES!C29="","",FINANCES!C29)</f>
        <v/>
      </c>
      <c r="C161" s="9" t="str">
        <f>IF(FINANCES!D29="","",FINANCES!D29)</f>
        <v/>
      </c>
      <c r="D161" s="9" t="str">
        <f>IF(FINANCES!E29="","",FINANCES!E29)</f>
        <v/>
      </c>
      <c r="E161" s="204" t="str">
        <f>IF(FINANCES!F29="","",FINANCES!F29)</f>
        <v/>
      </c>
      <c r="F161" s="9" t="str">
        <f>IF(FINANCES!G29="","",FINANCES!G29)</f>
        <v/>
      </c>
      <c r="G161" s="9" t="str">
        <f>IF(FINANCES!H29="","",FINANCES!H29)</f>
        <v/>
      </c>
    </row>
    <row r="162" spans="1:7" ht="27.75" customHeight="1" x14ac:dyDescent="0.25">
      <c r="A162" s="8">
        <v>7</v>
      </c>
      <c r="B162" s="9" t="str">
        <f>IF(FINANCES!C30="","",FINANCES!C30)</f>
        <v/>
      </c>
      <c r="C162" s="9" t="str">
        <f>IF(FINANCES!D30="","",FINANCES!D30)</f>
        <v/>
      </c>
      <c r="D162" s="9" t="str">
        <f>IF(FINANCES!E30="","",FINANCES!E30)</f>
        <v/>
      </c>
      <c r="E162" s="204" t="str">
        <f>IF(FINANCES!F30="","",FINANCES!F30)</f>
        <v/>
      </c>
      <c r="F162" s="9" t="str">
        <f>IF(FINANCES!G30="","",FINANCES!G30)</f>
        <v/>
      </c>
      <c r="G162" s="9" t="str">
        <f>IF(FINANCES!H30="","",FINANCES!H30)</f>
        <v/>
      </c>
    </row>
    <row r="163" spans="1:7" ht="27.75" customHeight="1" x14ac:dyDescent="0.25">
      <c r="A163" s="8">
        <v>8</v>
      </c>
      <c r="B163" s="9" t="str">
        <f>IF(FINANCES!C31="","",FINANCES!C31)</f>
        <v/>
      </c>
      <c r="C163" s="9" t="str">
        <f>IF(FINANCES!D31="","",FINANCES!D31)</f>
        <v/>
      </c>
      <c r="D163" s="9" t="str">
        <f>IF(FINANCES!E31="","",FINANCES!E31)</f>
        <v/>
      </c>
      <c r="E163" s="204" t="str">
        <f>IF(FINANCES!F31="","",FINANCES!F31)</f>
        <v/>
      </c>
      <c r="F163" s="9" t="str">
        <f>IF(FINANCES!G31="","",FINANCES!G31)</f>
        <v/>
      </c>
      <c r="G163" s="9" t="str">
        <f>IF(FINANCES!H31="","",FINANCES!H31)</f>
        <v/>
      </c>
    </row>
    <row r="164" spans="1:7" ht="27.75" customHeight="1" x14ac:dyDescent="0.25">
      <c r="A164" s="8">
        <v>9</v>
      </c>
      <c r="B164" s="9" t="str">
        <f>IF(FINANCES!C32="","",FINANCES!C32)</f>
        <v/>
      </c>
      <c r="C164" s="9" t="str">
        <f>IF(FINANCES!D32="","",FINANCES!D32)</f>
        <v/>
      </c>
      <c r="D164" s="9" t="str">
        <f>IF(FINANCES!E32="","",FINANCES!E32)</f>
        <v/>
      </c>
      <c r="E164" s="204" t="str">
        <f>IF(FINANCES!F32="","",FINANCES!F32)</f>
        <v/>
      </c>
      <c r="F164" s="9" t="str">
        <f>IF(FINANCES!G32="","",FINANCES!G32)</f>
        <v/>
      </c>
      <c r="G164" s="9" t="str">
        <f>IF(FINANCES!H32="","",FINANCES!H32)</f>
        <v/>
      </c>
    </row>
    <row r="165" spans="1:7" ht="27.75" customHeight="1" x14ac:dyDescent="0.25">
      <c r="A165" s="8">
        <v>10</v>
      </c>
      <c r="B165" s="9" t="str">
        <f>IF(FINANCES!C33="","",FINANCES!C33)</f>
        <v/>
      </c>
      <c r="C165" s="9" t="str">
        <f>IF(FINANCES!D33="","",FINANCES!D33)</f>
        <v/>
      </c>
      <c r="D165" s="9" t="str">
        <f>IF(FINANCES!E33="","",FINANCES!E33)</f>
        <v/>
      </c>
      <c r="E165" s="204" t="str">
        <f>IF(FINANCES!F33="","",FINANCES!F33)</f>
        <v/>
      </c>
      <c r="F165" s="9" t="str">
        <f>IF(FINANCES!G33="","",FINANCES!G33)</f>
        <v/>
      </c>
      <c r="G165" s="9" t="str">
        <f>IF(FINANCES!H33="","",FINANCES!H33)</f>
        <v/>
      </c>
    </row>
    <row r="167" spans="1:7" ht="18" customHeight="1" x14ac:dyDescent="0.25">
      <c r="A167" s="214" t="s">
        <v>315</v>
      </c>
      <c r="B167" s="214"/>
      <c r="C167" s="214"/>
      <c r="D167" s="214"/>
      <c r="E167" s="214"/>
      <c r="F167" s="214"/>
      <c r="G167" s="214"/>
    </row>
    <row r="168" spans="1:7" ht="21.75" customHeight="1" x14ac:dyDescent="0.25">
      <c r="A168" s="7" t="s">
        <v>29</v>
      </c>
      <c r="B168" s="7" t="s">
        <v>305</v>
      </c>
      <c r="C168" s="7" t="s">
        <v>32</v>
      </c>
      <c r="D168" s="7" t="s">
        <v>33</v>
      </c>
      <c r="E168" s="203" t="s">
        <v>72</v>
      </c>
      <c r="F168" s="7" t="s">
        <v>73</v>
      </c>
      <c r="G168" s="7" t="s">
        <v>74</v>
      </c>
    </row>
    <row r="169" spans="1:7" ht="27.75" customHeight="1" x14ac:dyDescent="0.25">
      <c r="A169" s="8">
        <v>1</v>
      </c>
      <c r="B169" s="9" t="str">
        <f>IF(CAC!C24="","",CAC!C24)</f>
        <v/>
      </c>
      <c r="C169" s="9" t="str">
        <f>IF(CAC!D24="","",CAC!D24)</f>
        <v/>
      </c>
      <c r="D169" s="9" t="str">
        <f>IF(CAC!E24="","",CAC!E24)</f>
        <v/>
      </c>
      <c r="E169" s="204" t="str">
        <f>IF(CAC!F24="","",CAC!F24)</f>
        <v/>
      </c>
      <c r="F169" s="9" t="str">
        <f>IF(CAC!G24="","",CAC!G24)</f>
        <v/>
      </c>
      <c r="G169" s="9" t="str">
        <f>IF(CAC!H24="","",CAC!H24)</f>
        <v/>
      </c>
    </row>
    <row r="170" spans="1:7" ht="27.75" customHeight="1" x14ac:dyDescent="0.25">
      <c r="A170" s="8">
        <v>2</v>
      </c>
      <c r="B170" s="9" t="str">
        <f>IF(CAC!C25="","",CAC!C25)</f>
        <v/>
      </c>
      <c r="C170" s="9" t="str">
        <f>IF(CAC!D25="","",CAC!D25)</f>
        <v/>
      </c>
      <c r="D170" s="9" t="str">
        <f>IF(CAC!E25="","",CAC!E25)</f>
        <v/>
      </c>
      <c r="E170" s="204" t="str">
        <f>IF(CAC!F25="","",CAC!F25)</f>
        <v/>
      </c>
      <c r="F170" s="9" t="str">
        <f>IF(CAC!G25="","",CAC!G25)</f>
        <v/>
      </c>
      <c r="G170" s="9" t="str">
        <f>IF(CAC!H25="","",CAC!H25)</f>
        <v/>
      </c>
    </row>
    <row r="171" spans="1:7" ht="27.75" customHeight="1" x14ac:dyDescent="0.25">
      <c r="A171" s="8">
        <v>3</v>
      </c>
      <c r="B171" s="9" t="str">
        <f>IF(CAC!C26="","",CAC!C26)</f>
        <v/>
      </c>
      <c r="C171" s="9" t="str">
        <f>IF(CAC!D26="","",CAC!D26)</f>
        <v/>
      </c>
      <c r="D171" s="9" t="str">
        <f>IF(CAC!E26="","",CAC!E26)</f>
        <v/>
      </c>
      <c r="E171" s="204" t="str">
        <f>IF(CAC!F26="","",CAC!F26)</f>
        <v/>
      </c>
      <c r="F171" s="9" t="str">
        <f>IF(CAC!G26="","",CAC!G26)</f>
        <v/>
      </c>
      <c r="G171" s="9" t="str">
        <f>IF(CAC!H26="","",CAC!H26)</f>
        <v/>
      </c>
    </row>
    <row r="172" spans="1:7" ht="27.75" customHeight="1" x14ac:dyDescent="0.25">
      <c r="A172" s="8">
        <v>4</v>
      </c>
      <c r="B172" s="9" t="str">
        <f>IF(CAC!C27="","",CAC!C27)</f>
        <v/>
      </c>
      <c r="C172" s="9" t="str">
        <f>IF(CAC!D27="","",CAC!D27)</f>
        <v/>
      </c>
      <c r="D172" s="9" t="str">
        <f>IF(CAC!E27="","",CAC!E27)</f>
        <v/>
      </c>
      <c r="E172" s="204" t="str">
        <f>IF(CAC!F27="","",CAC!F27)</f>
        <v/>
      </c>
      <c r="F172" s="9" t="str">
        <f>IF(CAC!G27="","",CAC!G27)</f>
        <v/>
      </c>
      <c r="G172" s="9" t="str">
        <f>IF(CAC!H27="","",CAC!H27)</f>
        <v/>
      </c>
    </row>
    <row r="173" spans="1:7" ht="27.75" customHeight="1" x14ac:dyDescent="0.25">
      <c r="A173" s="8">
        <v>5</v>
      </c>
      <c r="B173" s="9" t="str">
        <f>IF(CAC!C28="","",CAC!C28)</f>
        <v/>
      </c>
      <c r="C173" s="9" t="str">
        <f>IF(CAC!D28="","",CAC!D28)</f>
        <v/>
      </c>
      <c r="D173" s="9" t="str">
        <f>IF(CAC!E28="","",CAC!E28)</f>
        <v/>
      </c>
      <c r="E173" s="204" t="str">
        <f>IF(CAC!F28="","",CAC!F28)</f>
        <v/>
      </c>
      <c r="F173" s="9" t="str">
        <f>IF(CAC!G28="","",CAC!G28)</f>
        <v/>
      </c>
      <c r="G173" s="9" t="str">
        <f>IF(CAC!H28="","",CAC!H28)</f>
        <v/>
      </c>
    </row>
    <row r="174" spans="1:7" ht="27.75" customHeight="1" x14ac:dyDescent="0.25">
      <c r="A174" s="8">
        <v>6</v>
      </c>
      <c r="B174" s="9" t="str">
        <f>IF(CAC!C29="","",CAC!C29)</f>
        <v/>
      </c>
      <c r="C174" s="9" t="str">
        <f>IF(CAC!D29="","",CAC!D29)</f>
        <v/>
      </c>
      <c r="D174" s="9" t="str">
        <f>IF(CAC!E29="","",CAC!E29)</f>
        <v/>
      </c>
      <c r="E174" s="204" t="str">
        <f>IF(CAC!F29="","",CAC!F29)</f>
        <v/>
      </c>
      <c r="F174" s="9" t="str">
        <f>IF(CAC!G29="","",CAC!G29)</f>
        <v/>
      </c>
      <c r="G174" s="9" t="str">
        <f>IF(CAC!H29="","",CAC!H29)</f>
        <v/>
      </c>
    </row>
    <row r="175" spans="1:7" ht="27.75" customHeight="1" x14ac:dyDescent="0.25">
      <c r="A175" s="8">
        <v>7</v>
      </c>
      <c r="B175" s="9" t="str">
        <f>IF(CAC!C30="","",CAC!C30)</f>
        <v/>
      </c>
      <c r="C175" s="9" t="str">
        <f>IF(CAC!D30="","",CAC!D30)</f>
        <v/>
      </c>
      <c r="D175" s="9" t="str">
        <f>IF(CAC!E30="","",CAC!E30)</f>
        <v/>
      </c>
      <c r="E175" s="204" t="str">
        <f>IF(CAC!F30="","",CAC!F30)</f>
        <v/>
      </c>
      <c r="F175" s="9" t="str">
        <f>IF(CAC!G30="","",CAC!G30)</f>
        <v/>
      </c>
      <c r="G175" s="9" t="str">
        <f>IF(CAC!H30="","",CAC!H30)</f>
        <v/>
      </c>
    </row>
    <row r="176" spans="1:7" ht="27.75" customHeight="1" x14ac:dyDescent="0.25">
      <c r="A176" s="8">
        <v>8</v>
      </c>
      <c r="B176" s="9" t="str">
        <f>IF(CAC!C31="","",CAC!C31)</f>
        <v/>
      </c>
      <c r="C176" s="9" t="str">
        <f>IF(CAC!D31="","",CAC!D31)</f>
        <v/>
      </c>
      <c r="D176" s="9" t="str">
        <f>IF(CAC!E31="","",CAC!E31)</f>
        <v/>
      </c>
      <c r="E176" s="204" t="str">
        <f>IF(CAC!F31="","",CAC!F31)</f>
        <v/>
      </c>
      <c r="F176" s="9" t="str">
        <f>IF(CAC!G31="","",CAC!G31)</f>
        <v/>
      </c>
      <c r="G176" s="9" t="str">
        <f>IF(CAC!H31="","",CAC!H31)</f>
        <v/>
      </c>
    </row>
    <row r="177" spans="1:7" ht="27.75" customHeight="1" x14ac:dyDescent="0.25">
      <c r="A177" s="8">
        <v>9</v>
      </c>
      <c r="B177" s="9" t="str">
        <f>IF(CAC!C32="","",CAC!C32)</f>
        <v/>
      </c>
      <c r="C177" s="9" t="str">
        <f>IF(CAC!D32="","",CAC!D32)</f>
        <v/>
      </c>
      <c r="D177" s="9" t="str">
        <f>IF(CAC!E32="","",CAC!E32)</f>
        <v/>
      </c>
      <c r="E177" s="204" t="str">
        <f>IF(CAC!F32="","",CAC!F32)</f>
        <v/>
      </c>
      <c r="F177" s="9" t="str">
        <f>IF(CAC!G32="","",CAC!G32)</f>
        <v/>
      </c>
      <c r="G177" s="9" t="str">
        <f>IF(CAC!H32="","",CAC!H32)</f>
        <v/>
      </c>
    </row>
    <row r="178" spans="1:7" ht="27.75" customHeight="1" x14ac:dyDescent="0.25">
      <c r="A178" s="8">
        <v>10</v>
      </c>
      <c r="B178" s="9" t="str">
        <f>IF(CAC!C33="","",CAC!C33)</f>
        <v/>
      </c>
      <c r="C178" s="9" t="str">
        <f>IF(CAC!D33="","",CAC!D33)</f>
        <v/>
      </c>
      <c r="D178" s="9" t="str">
        <f>IF(CAC!E33="","",CAC!E33)</f>
        <v/>
      </c>
      <c r="E178" s="204" t="str">
        <f>IF(CAC!F33="","",CAC!F33)</f>
        <v/>
      </c>
      <c r="F178" s="9" t="str">
        <f>IF(CAC!G33="","",CAC!G33)</f>
        <v/>
      </c>
      <c r="G178" s="9" t="str">
        <f>IF(CAC!H33="","",CAC!H33)</f>
        <v/>
      </c>
    </row>
    <row r="180" spans="1:7" ht="18" customHeight="1" x14ac:dyDescent="0.25">
      <c r="A180" s="214" t="s">
        <v>312</v>
      </c>
      <c r="B180" s="214"/>
      <c r="C180" s="214"/>
      <c r="D180" s="214"/>
      <c r="E180" s="214"/>
      <c r="F180" s="214"/>
      <c r="G180" s="214"/>
    </row>
    <row r="181" spans="1:7" ht="21.75" customHeight="1" x14ac:dyDescent="0.25">
      <c r="A181" s="7" t="s">
        <v>29</v>
      </c>
      <c r="B181" s="7" t="s">
        <v>305</v>
      </c>
      <c r="C181" s="7" t="s">
        <v>32</v>
      </c>
      <c r="D181" s="7" t="s">
        <v>33</v>
      </c>
      <c r="E181" s="203" t="s">
        <v>72</v>
      </c>
      <c r="F181" s="7" t="s">
        <v>73</v>
      </c>
      <c r="G181" s="7" t="s">
        <v>74</v>
      </c>
    </row>
    <row r="182" spans="1:7" ht="27.75" customHeight="1" x14ac:dyDescent="0.25">
      <c r="A182" s="8">
        <v>1</v>
      </c>
      <c r="B182" s="9" t="str">
        <f>IF(COM!C24="","",COM!C24)</f>
        <v/>
      </c>
      <c r="C182" s="9" t="str">
        <f>IF(COM!D24="","",COM!D24)</f>
        <v/>
      </c>
      <c r="D182" s="9" t="str">
        <f>IF(COM!E24="","",COM!E24)</f>
        <v/>
      </c>
      <c r="E182" s="204" t="str">
        <f>IF(COM!F24="","",COM!F24)</f>
        <v/>
      </c>
      <c r="F182" s="9" t="str">
        <f>IF(COM!G24="","",COM!G24)</f>
        <v/>
      </c>
      <c r="G182" s="9" t="str">
        <f>IF(COM!H24="","",COM!H24)</f>
        <v/>
      </c>
    </row>
    <row r="183" spans="1:7" ht="27.75" customHeight="1" x14ac:dyDescent="0.25">
      <c r="A183" s="8">
        <v>2</v>
      </c>
      <c r="B183" s="9" t="str">
        <f>IF(COM!C25="","",COM!C25)</f>
        <v/>
      </c>
      <c r="C183" s="9" t="str">
        <f>IF(COM!D25="","",COM!D25)</f>
        <v/>
      </c>
      <c r="D183" s="9" t="str">
        <f>IF(COM!E25="","",COM!E25)</f>
        <v/>
      </c>
      <c r="E183" s="204" t="str">
        <f>IF(COM!F25="","",COM!F25)</f>
        <v/>
      </c>
      <c r="F183" s="9" t="str">
        <f>IF(COM!G25="","",COM!G25)</f>
        <v/>
      </c>
      <c r="G183" s="9" t="str">
        <f>IF(COM!H25="","",COM!H25)</f>
        <v/>
      </c>
    </row>
    <row r="184" spans="1:7" ht="27.75" customHeight="1" x14ac:dyDescent="0.25">
      <c r="A184" s="8">
        <v>3</v>
      </c>
      <c r="B184" s="9" t="str">
        <f>IF(COM!C26="","",COM!C26)</f>
        <v/>
      </c>
      <c r="C184" s="9" t="str">
        <f>IF(COM!D26="","",COM!D26)</f>
        <v/>
      </c>
      <c r="D184" s="9" t="str">
        <f>IF(COM!E26="","",COM!E26)</f>
        <v/>
      </c>
      <c r="E184" s="204" t="str">
        <f>IF(COM!F26="","",COM!F26)</f>
        <v/>
      </c>
      <c r="F184" s="9" t="str">
        <f>IF(COM!G26="","",COM!G26)</f>
        <v/>
      </c>
      <c r="G184" s="9" t="str">
        <f>IF(COM!H26="","",COM!H26)</f>
        <v/>
      </c>
    </row>
    <row r="185" spans="1:7" ht="27.75" customHeight="1" x14ac:dyDescent="0.25">
      <c r="A185" s="8">
        <v>4</v>
      </c>
      <c r="B185" s="9" t="str">
        <f>IF(COM!C27="","",COM!C27)</f>
        <v/>
      </c>
      <c r="C185" s="9" t="str">
        <f>IF(COM!D27="","",COM!D27)</f>
        <v/>
      </c>
      <c r="D185" s="9" t="str">
        <f>IF(COM!E27="","",COM!E27)</f>
        <v/>
      </c>
      <c r="E185" s="204" t="str">
        <f>IF(COM!F27="","",COM!F27)</f>
        <v/>
      </c>
      <c r="F185" s="9" t="str">
        <f>IF(COM!G27="","",COM!G27)</f>
        <v/>
      </c>
      <c r="G185" s="9" t="str">
        <f>IF(COM!H27="","",COM!H27)</f>
        <v/>
      </c>
    </row>
    <row r="186" spans="1:7" ht="27.75" customHeight="1" x14ac:dyDescent="0.25">
      <c r="A186" s="8">
        <v>5</v>
      </c>
      <c r="B186" s="9" t="str">
        <f>IF(COM!C28="","",COM!C28)</f>
        <v/>
      </c>
      <c r="C186" s="9" t="str">
        <f>IF(COM!D28="","",COM!D28)</f>
        <v/>
      </c>
      <c r="D186" s="9" t="str">
        <f>IF(COM!E28="","",COM!E28)</f>
        <v/>
      </c>
      <c r="E186" s="204" t="str">
        <f>IF(COM!F28="","",COM!F28)</f>
        <v/>
      </c>
      <c r="F186" s="9" t="str">
        <f>IF(COM!G28="","",COM!G28)</f>
        <v/>
      </c>
      <c r="G186" s="9" t="str">
        <f>IF(COM!H28="","",COM!H28)</f>
        <v/>
      </c>
    </row>
    <row r="187" spans="1:7" ht="27.75" customHeight="1" x14ac:dyDescent="0.25">
      <c r="A187" s="8">
        <v>6</v>
      </c>
      <c r="B187" s="9" t="str">
        <f>IF(COM!C29="","",COM!C29)</f>
        <v/>
      </c>
      <c r="C187" s="9" t="str">
        <f>IF(COM!D29="","",COM!D29)</f>
        <v/>
      </c>
      <c r="D187" s="9" t="str">
        <f>IF(COM!E29="","",COM!E29)</f>
        <v/>
      </c>
      <c r="E187" s="204" t="str">
        <f>IF(COM!F29="","",COM!F29)</f>
        <v/>
      </c>
      <c r="F187" s="9" t="str">
        <f>IF(COM!G29="","",COM!G29)</f>
        <v/>
      </c>
      <c r="G187" s="9" t="str">
        <f>IF(COM!H29="","",COM!H29)</f>
        <v/>
      </c>
    </row>
    <row r="188" spans="1:7" ht="27.75" customHeight="1" x14ac:dyDescent="0.25">
      <c r="A188" s="8">
        <v>7</v>
      </c>
      <c r="B188" s="9" t="str">
        <f>IF(COM!C30="","",COM!C30)</f>
        <v/>
      </c>
      <c r="C188" s="9" t="str">
        <f>IF(COM!D30="","",COM!D30)</f>
        <v/>
      </c>
      <c r="D188" s="9" t="str">
        <f>IF(COM!E30="","",COM!E30)</f>
        <v/>
      </c>
      <c r="E188" s="204" t="str">
        <f>IF(COM!F30="","",COM!F30)</f>
        <v/>
      </c>
      <c r="F188" s="9" t="str">
        <f>IF(COM!G30="","",COM!G30)</f>
        <v/>
      </c>
      <c r="G188" s="9" t="str">
        <f>IF(COM!H30="","",COM!H30)</f>
        <v/>
      </c>
    </row>
    <row r="189" spans="1:7" ht="27.75" customHeight="1" x14ac:dyDescent="0.25">
      <c r="A189" s="8">
        <v>8</v>
      </c>
      <c r="B189" s="9" t="str">
        <f>IF(COM!C31="","",COM!C31)</f>
        <v/>
      </c>
      <c r="C189" s="9" t="str">
        <f>IF(COM!D31="","",COM!D31)</f>
        <v/>
      </c>
      <c r="D189" s="9" t="str">
        <f>IF(COM!E31="","",COM!E31)</f>
        <v/>
      </c>
      <c r="E189" s="204" t="str">
        <f>IF(COM!F31="","",COM!F31)</f>
        <v/>
      </c>
      <c r="F189" s="9" t="str">
        <f>IF(COM!G31="","",COM!G31)</f>
        <v/>
      </c>
      <c r="G189" s="9" t="str">
        <f>IF(COM!H31="","",COM!H31)</f>
        <v/>
      </c>
    </row>
    <row r="190" spans="1:7" ht="27.75" customHeight="1" x14ac:dyDescent="0.25">
      <c r="A190" s="8">
        <v>9</v>
      </c>
      <c r="B190" s="9" t="str">
        <f>IF(COM!C32="","",COM!C32)</f>
        <v/>
      </c>
      <c r="C190" s="9" t="str">
        <f>IF(COM!D32="","",COM!D32)</f>
        <v/>
      </c>
      <c r="D190" s="9" t="str">
        <f>IF(COM!E32="","",COM!E32)</f>
        <v/>
      </c>
      <c r="E190" s="204" t="str">
        <f>IF(COM!F32="","",COM!F32)</f>
        <v/>
      </c>
      <c r="F190" s="9" t="str">
        <f>IF(COM!G32="","",COM!G32)</f>
        <v/>
      </c>
      <c r="G190" s="9" t="str">
        <f>IF(COM!H32="","",COM!H32)</f>
        <v/>
      </c>
    </row>
    <row r="191" spans="1:7" ht="27.75" customHeight="1" x14ac:dyDescent="0.25">
      <c r="A191" s="8">
        <v>10</v>
      </c>
      <c r="B191" s="9" t="str">
        <f>IF(COM!C33="","",COM!C33)</f>
        <v/>
      </c>
      <c r="C191" s="9" t="str">
        <f>IF(COM!D33="","",COM!D33)</f>
        <v/>
      </c>
      <c r="D191" s="9" t="str">
        <f>IF(COM!E33="","",COM!E33)</f>
        <v/>
      </c>
      <c r="E191" s="204" t="str">
        <f>IF(COM!F33="","",COM!F33)</f>
        <v/>
      </c>
      <c r="F191" s="9" t="str">
        <f>IF(COM!G33="","",COM!G33)</f>
        <v/>
      </c>
      <c r="G191" s="9" t="str">
        <f>IF(COM!H33="","",COM!H33)</f>
        <v/>
      </c>
    </row>
    <row r="194" spans="1:7" ht="24" customHeight="1" x14ac:dyDescent="0.25">
      <c r="A194" s="212" t="s">
        <v>316</v>
      </c>
      <c r="B194" s="212"/>
      <c r="C194" s="212"/>
      <c r="D194" s="212"/>
      <c r="E194" s="212"/>
      <c r="F194" s="212"/>
      <c r="G194" s="212"/>
    </row>
    <row r="195" spans="1:7" ht="18" customHeight="1" x14ac:dyDescent="0.25">
      <c r="A195" s="210" t="s">
        <v>304</v>
      </c>
      <c r="B195" s="210"/>
      <c r="C195" s="210"/>
      <c r="D195" s="210"/>
      <c r="E195" s="210"/>
      <c r="F195" s="210"/>
      <c r="G195" s="210"/>
    </row>
    <row r="196" spans="1:7" ht="21.75" customHeight="1" x14ac:dyDescent="0.25">
      <c r="A196" s="7" t="s">
        <v>29</v>
      </c>
      <c r="B196" s="7" t="s">
        <v>123</v>
      </c>
      <c r="C196" s="7" t="s">
        <v>124</v>
      </c>
      <c r="D196" s="7" t="s">
        <v>125</v>
      </c>
      <c r="E196" s="203" t="s">
        <v>126</v>
      </c>
      <c r="F196" s="207"/>
      <c r="G196" s="207"/>
    </row>
    <row r="197" spans="1:7" ht="27.75" customHeight="1" x14ac:dyDescent="0.25">
      <c r="A197" s="8">
        <v>1</v>
      </c>
      <c r="B197" s="9" t="str">
        <f>IF(CAD!C40="","",CAD!C40)</f>
        <v/>
      </c>
      <c r="C197" s="9" t="str">
        <f>IF(CAD!D40="","",CAD!D40)</f>
        <v/>
      </c>
      <c r="D197" s="9" t="str">
        <f>IF(CAD!E40="","",CAD!E40)</f>
        <v/>
      </c>
      <c r="E197" s="204" t="str">
        <f>IF(CAD!F40="","",CAD!F40)</f>
        <v/>
      </c>
      <c r="F197" s="208"/>
      <c r="G197" s="208"/>
    </row>
    <row r="198" spans="1:7" ht="27.75" customHeight="1" x14ac:dyDescent="0.25">
      <c r="A198" s="8">
        <v>2</v>
      </c>
      <c r="B198" s="9" t="str">
        <f>IF(CAD!C41="","",CAD!C41)</f>
        <v/>
      </c>
      <c r="C198" s="9" t="str">
        <f>IF(CAD!D41="","",CAD!D41)</f>
        <v/>
      </c>
      <c r="D198" s="9" t="str">
        <f>IF(CAD!E41="","",CAD!E41)</f>
        <v/>
      </c>
      <c r="E198" s="204" t="str">
        <f>IF(CAD!F41="","",CAD!F41)</f>
        <v/>
      </c>
      <c r="F198" s="208"/>
      <c r="G198" s="208"/>
    </row>
    <row r="199" spans="1:7" ht="27.75" customHeight="1" x14ac:dyDescent="0.25">
      <c r="A199" s="8">
        <v>3</v>
      </c>
      <c r="B199" s="9" t="str">
        <f>IF(CAD!C42="","",CAD!C42)</f>
        <v/>
      </c>
      <c r="C199" s="9" t="str">
        <f>IF(CAD!D42="","",CAD!D42)</f>
        <v/>
      </c>
      <c r="D199" s="9" t="str">
        <f>IF(CAD!E42="","",CAD!E42)</f>
        <v/>
      </c>
      <c r="E199" s="204" t="str">
        <f>IF(CAD!F42="","",CAD!F42)</f>
        <v/>
      </c>
      <c r="F199" s="208"/>
      <c r="G199" s="208"/>
    </row>
    <row r="200" spans="1:7" ht="27.75" customHeight="1" x14ac:dyDescent="0.25">
      <c r="A200" s="8">
        <v>4</v>
      </c>
      <c r="B200" s="9" t="str">
        <f>IF(CAD!C43="","",CAD!C43)</f>
        <v/>
      </c>
      <c r="C200" s="9" t="str">
        <f>IF(CAD!D43="","",CAD!D43)</f>
        <v/>
      </c>
      <c r="D200" s="9" t="str">
        <f>IF(CAD!E43="","",CAD!E43)</f>
        <v/>
      </c>
      <c r="E200" s="204" t="str">
        <f>IF(CAD!F43="","",CAD!F43)</f>
        <v/>
      </c>
      <c r="F200" s="208"/>
      <c r="G200" s="208"/>
    </row>
    <row r="201" spans="1:7" ht="27.75" customHeight="1" x14ac:dyDescent="0.25">
      <c r="A201" s="8">
        <v>5</v>
      </c>
      <c r="B201" s="9" t="str">
        <f>IF(CAD!C44="","",CAD!C44)</f>
        <v/>
      </c>
      <c r="C201" s="9" t="str">
        <f>IF(CAD!D44="","",CAD!D44)</f>
        <v/>
      </c>
      <c r="D201" s="9" t="str">
        <f>IF(CAD!E44="","",CAD!E44)</f>
        <v/>
      </c>
      <c r="E201" s="204" t="str">
        <f>IF(CAD!F44="","",CAD!F44)</f>
        <v/>
      </c>
      <c r="F201" s="208"/>
      <c r="G201" s="208"/>
    </row>
    <row r="203" spans="1:7" ht="18" customHeight="1" x14ac:dyDescent="0.25">
      <c r="A203" s="211" t="s">
        <v>306</v>
      </c>
      <c r="B203" s="211"/>
      <c r="C203" s="211"/>
      <c r="D203" s="211"/>
      <c r="E203" s="211"/>
      <c r="F203" s="211"/>
      <c r="G203" s="211"/>
    </row>
    <row r="204" spans="1:7" ht="21.75" customHeight="1" x14ac:dyDescent="0.25">
      <c r="A204" s="7" t="s">
        <v>29</v>
      </c>
      <c r="B204" s="7" t="s">
        <v>123</v>
      </c>
      <c r="C204" s="7" t="s">
        <v>124</v>
      </c>
      <c r="D204" s="7" t="s">
        <v>125</v>
      </c>
      <c r="E204" s="203" t="s">
        <v>126</v>
      </c>
      <c r="F204" s="207"/>
      <c r="G204" s="207"/>
    </row>
    <row r="205" spans="1:7" ht="27.75" customHeight="1" x14ac:dyDescent="0.25">
      <c r="A205" s="8">
        <v>1</v>
      </c>
      <c r="B205" s="9" t="str">
        <f>IF(PMO!C39="","",PMO!C39)</f>
        <v/>
      </c>
      <c r="C205" s="9" t="str">
        <f>IF(PMO!D39="","",PMO!D39)</f>
        <v>Restructuration du prestataire du logiciel ORCHESTRA demandant une revision du contrat.
Aucune avancée sur le contrat, ce qui retarde la mise en oeuvre du paiement dans le cadre de la maintenance.</v>
      </c>
      <c r="D205" s="9" t="str">
        <f>IF(PMO!E39="","",PMO!E39)</f>
        <v>🟠 Élevé</v>
      </c>
      <c r="E205" s="204" t="str">
        <f>IF(PMO!F39="","",PMO!F39)</f>
        <v>Approche du Département Juridique pour une accélération du traitement de ce dossier.</v>
      </c>
      <c r="F205" s="209"/>
      <c r="G205" s="209"/>
    </row>
    <row r="206" spans="1:7" ht="27.75" customHeight="1" x14ac:dyDescent="0.25">
      <c r="A206" s="8">
        <v>2</v>
      </c>
      <c r="B206" s="9" t="str">
        <f>IF(PMO!C40="","",PMO!C40)</f>
        <v/>
      </c>
      <c r="C206" s="9" t="str">
        <f>IF(PMO!D40="","",PMO!D40)</f>
        <v/>
      </c>
      <c r="D206" s="9" t="str">
        <f>IF(PMO!E40="","",PMO!E40)</f>
        <v/>
      </c>
      <c r="E206" s="204" t="str">
        <f>IF(PMO!F40="","",PMO!F40)</f>
        <v/>
      </c>
      <c r="F206" s="209"/>
      <c r="G206" s="209"/>
    </row>
    <row r="207" spans="1:7" ht="27.75" customHeight="1" x14ac:dyDescent="0.25">
      <c r="A207" s="8">
        <v>3</v>
      </c>
      <c r="B207" s="9" t="str">
        <f>IF(PMO!C41="","",PMO!C41)</f>
        <v/>
      </c>
      <c r="C207" s="9" t="str">
        <f>IF(PMO!D41="","",PMO!D41)</f>
        <v/>
      </c>
      <c r="D207" s="9" t="str">
        <f>IF(PMO!E41="","",PMO!E41)</f>
        <v/>
      </c>
      <c r="E207" s="204" t="str">
        <f>IF(PMO!F41="","",PMO!F41)</f>
        <v/>
      </c>
      <c r="F207" s="209"/>
      <c r="G207" s="209"/>
    </row>
    <row r="208" spans="1:7" ht="27.75" customHeight="1" x14ac:dyDescent="0.25">
      <c r="A208" s="8">
        <v>4</v>
      </c>
      <c r="B208" s="9" t="str">
        <f>IF(PMO!C42="","",PMO!C42)</f>
        <v/>
      </c>
      <c r="C208" s="9" t="str">
        <f>IF(PMO!D42="","",PMO!D42)</f>
        <v/>
      </c>
      <c r="D208" s="9" t="str">
        <f>IF(PMO!E42="","",PMO!E42)</f>
        <v/>
      </c>
      <c r="E208" s="204" t="str">
        <f>IF(PMO!F42="","",PMO!F42)</f>
        <v/>
      </c>
      <c r="F208" s="209"/>
      <c r="G208" s="209"/>
    </row>
    <row r="209" spans="1:7" ht="27.75" customHeight="1" x14ac:dyDescent="0.25">
      <c r="A209" s="8">
        <v>5</v>
      </c>
      <c r="B209" s="9" t="str">
        <f>IF(PMO!C43="","",PMO!C43)</f>
        <v/>
      </c>
      <c r="C209" s="9" t="str">
        <f>IF(PMO!D43="","",PMO!D43)</f>
        <v/>
      </c>
      <c r="D209" s="9" t="str">
        <f>IF(PMO!E43="","",PMO!E43)</f>
        <v/>
      </c>
      <c r="E209" s="204" t="str">
        <f>IF(PMO!F43="","",PMO!F43)</f>
        <v/>
      </c>
      <c r="F209" s="209"/>
      <c r="G209" s="209"/>
    </row>
    <row r="211" spans="1:7" ht="18" customHeight="1" x14ac:dyDescent="0.25">
      <c r="A211" s="210" t="s">
        <v>307</v>
      </c>
      <c r="B211" s="210"/>
      <c r="C211" s="210"/>
      <c r="D211" s="210"/>
      <c r="E211" s="210"/>
      <c r="F211" s="210"/>
      <c r="G211" s="210"/>
    </row>
    <row r="212" spans="1:7" ht="21.75" customHeight="1" x14ac:dyDescent="0.25">
      <c r="A212" s="7" t="s">
        <v>29</v>
      </c>
      <c r="B212" s="7" t="s">
        <v>123</v>
      </c>
      <c r="C212" s="7" t="s">
        <v>124</v>
      </c>
      <c r="D212" s="7" t="s">
        <v>125</v>
      </c>
      <c r="E212" s="203" t="s">
        <v>126</v>
      </c>
      <c r="F212" s="207"/>
      <c r="G212" s="207"/>
    </row>
    <row r="213" spans="1:7" ht="27.75" customHeight="1" x14ac:dyDescent="0.25">
      <c r="A213" s="8">
        <v>1</v>
      </c>
      <c r="B213" s="9" t="str">
        <f>IF(QAD!C39="","",QAD!C39)</f>
        <v>Traitement de commandes fournisseurs</v>
      </c>
      <c r="C213" s="9" t="str">
        <f>IF(QAD!D39="","",QAD!D39)</f>
        <v>Faible disponibilité de plusieurs consommables à acquerir sur budget ETAT au niveau central (DBS, Tubes EDTA, Tubes rouge, Tubes gris, Pastilles de chloramine, etc)</v>
      </c>
      <c r="D213" s="9" t="str">
        <f>IF(QAD!E39="","",QAD!E39)</f>
        <v>🟠 Élevé</v>
      </c>
      <c r="E213" s="204" t="str">
        <f>IF(QAD!F39="","",QAD!F39)</f>
        <v>- Procéder à des acquisitions de dépannages pour garantir la continuité des services
- Procéder au paiement des fournisseurs pour une livraison des kits DBS</v>
      </c>
      <c r="F213" s="208"/>
      <c r="G213" s="208"/>
    </row>
    <row r="214" spans="1:7" ht="27.75" customHeight="1" x14ac:dyDescent="0.25">
      <c r="A214" s="8">
        <v>2</v>
      </c>
      <c r="B214" s="9" t="str">
        <f>IF(QAD!C40="","",QAD!C40)</f>
        <v>Dédouanement et enlèvement</v>
      </c>
      <c r="C214" s="9" t="str">
        <f>IF(QAD!D40="","",QAD!D40)</f>
        <v>Refus de libération des colis arrivés en raison de l'expiration de l'exonération des produits financés par le Gouvernement Américain. Le service Transit a indiqué que la douane réclamait un courrier, une note ou un document officiel indiquant la poursuite des activités du projet LHSPLA sous le couvert du Département d'Etat Américain.</v>
      </c>
      <c r="D214" s="9" t="str">
        <f>IF(QAD!E40="","",QAD!E40)</f>
        <v>🟠 Élevé</v>
      </c>
      <c r="E214" s="204" t="str">
        <f>IF(QAD!F40="","",QAD!F40)</f>
        <v>- Obtenir un délai additionnel avec la DGD pour la libération des colis arrivés en attendant le renouvellement de l'exonération des produits acquis sur le budget du Gouvernement Américain</v>
      </c>
      <c r="F214" s="208"/>
      <c r="G214" s="208"/>
    </row>
    <row r="215" spans="1:7" ht="27.75" customHeight="1" x14ac:dyDescent="0.25">
      <c r="A215" s="8">
        <v>3</v>
      </c>
      <c r="B215" s="9" t="str">
        <f>IF(QAD!C41="","",QAD!C41)</f>
        <v/>
      </c>
      <c r="C215" s="9" t="str">
        <f>IF(QAD!D41="","",QAD!D41)</f>
        <v/>
      </c>
      <c r="D215" s="9" t="str">
        <f>IF(QAD!E41="","",QAD!E41)</f>
        <v/>
      </c>
      <c r="E215" s="204" t="str">
        <f>IF(QAD!F41="","",QAD!F41)</f>
        <v/>
      </c>
      <c r="F215" s="208"/>
      <c r="G215" s="208"/>
    </row>
    <row r="216" spans="1:7" ht="27.75" customHeight="1" x14ac:dyDescent="0.25">
      <c r="A216" s="8">
        <v>4</v>
      </c>
      <c r="B216" s="9" t="str">
        <f>IF(QAD!C42="","",QAD!C42)</f>
        <v/>
      </c>
      <c r="C216" s="9" t="str">
        <f>IF(QAD!D42="","",QAD!D42)</f>
        <v/>
      </c>
      <c r="D216" s="9" t="str">
        <f>IF(QAD!E42="","",QAD!E42)</f>
        <v/>
      </c>
      <c r="E216" s="204" t="str">
        <f>IF(QAD!F42="","",QAD!F42)</f>
        <v/>
      </c>
      <c r="F216" s="208"/>
      <c r="G216" s="208"/>
    </row>
    <row r="217" spans="1:7" ht="27.75" customHeight="1" x14ac:dyDescent="0.25">
      <c r="A217" s="8">
        <v>5</v>
      </c>
      <c r="B217" s="9" t="str">
        <f>IF(QAD!C43="","",QAD!C43)</f>
        <v/>
      </c>
      <c r="C217" s="9" t="str">
        <f>IF(QAD!D43="","",QAD!D43)</f>
        <v/>
      </c>
      <c r="D217" s="9" t="str">
        <f>IF(QAD!E43="","",QAD!E43)</f>
        <v/>
      </c>
      <c r="E217" s="204" t="str">
        <f>IF(QAD!F43="","",QAD!F43)</f>
        <v/>
      </c>
      <c r="F217" s="208"/>
      <c r="G217" s="208"/>
    </row>
    <row r="219" spans="1:7" ht="18" customHeight="1" x14ac:dyDescent="0.25">
      <c r="A219" s="210" t="s">
        <v>308</v>
      </c>
      <c r="B219" s="210"/>
      <c r="C219" s="210"/>
      <c r="D219" s="210"/>
      <c r="E219" s="210"/>
      <c r="F219" s="210"/>
      <c r="G219" s="210"/>
    </row>
    <row r="220" spans="1:7" ht="21.75" customHeight="1" x14ac:dyDescent="0.25">
      <c r="A220" s="7" t="s">
        <v>29</v>
      </c>
      <c r="B220" s="7" t="s">
        <v>123</v>
      </c>
      <c r="C220" s="7" t="s">
        <v>124</v>
      </c>
      <c r="D220" s="7" t="s">
        <v>125</v>
      </c>
      <c r="E220" s="203" t="s">
        <v>126</v>
      </c>
      <c r="F220" s="207"/>
      <c r="G220" s="207"/>
    </row>
    <row r="221" spans="1:7" ht="27.75" customHeight="1" x14ac:dyDescent="0.25">
      <c r="A221" s="8">
        <v>1</v>
      </c>
      <c r="B221" s="9" t="str">
        <f>IF(SE!C36="","",SE!C36)</f>
        <v/>
      </c>
      <c r="C221" s="9" t="str">
        <f>IF(SE!D36="","",SE!D36)</f>
        <v/>
      </c>
      <c r="D221" s="9" t="str">
        <f>IF(SE!E36="","",SE!E36)</f>
        <v/>
      </c>
      <c r="E221" s="204" t="str">
        <f>IF(SE!F36="","",SE!F36)</f>
        <v/>
      </c>
      <c r="F221" s="208"/>
      <c r="G221" s="208"/>
    </row>
    <row r="222" spans="1:7" ht="27.75" customHeight="1" x14ac:dyDescent="0.25">
      <c r="A222" s="8">
        <v>2</v>
      </c>
      <c r="B222" s="9" t="str">
        <f>IF(SE!C37="","",SE!C37)</f>
        <v/>
      </c>
      <c r="C222" s="9" t="str">
        <f>IF(SE!D37="","",SE!D37)</f>
        <v/>
      </c>
      <c r="D222" s="9" t="str">
        <f>IF(SE!E37="","",SE!E37)</f>
        <v/>
      </c>
      <c r="E222" s="204" t="str">
        <f>IF(SE!F37="","",SE!F37)</f>
        <v/>
      </c>
      <c r="F222" s="208"/>
      <c r="G222" s="208"/>
    </row>
    <row r="223" spans="1:7" ht="27.75" customHeight="1" x14ac:dyDescent="0.25">
      <c r="A223" s="8">
        <v>3</v>
      </c>
      <c r="B223" s="9" t="str">
        <f>IF(SE!C38="","",SE!C38)</f>
        <v/>
      </c>
      <c r="C223" s="9" t="str">
        <f>IF(SE!D38="","",SE!D38)</f>
        <v/>
      </c>
      <c r="D223" s="9" t="str">
        <f>IF(SE!E38="","",SE!E38)</f>
        <v/>
      </c>
      <c r="E223" s="204" t="str">
        <f>IF(SE!F38="","",SE!F38)</f>
        <v/>
      </c>
      <c r="F223" s="208"/>
      <c r="G223" s="208"/>
    </row>
    <row r="224" spans="1:7" ht="27.75" customHeight="1" x14ac:dyDescent="0.25">
      <c r="A224" s="8">
        <v>4</v>
      </c>
      <c r="B224" s="9" t="str">
        <f>IF(SE!C39="","",SE!C39)</f>
        <v/>
      </c>
      <c r="C224" s="9" t="str">
        <f>IF(SE!D39="","",SE!D39)</f>
        <v/>
      </c>
      <c r="D224" s="9" t="str">
        <f>IF(SE!E39="","",SE!E39)</f>
        <v/>
      </c>
      <c r="E224" s="204" t="str">
        <f>IF(SE!F39="","",SE!F39)</f>
        <v/>
      </c>
      <c r="F224" s="208"/>
      <c r="G224" s="208"/>
    </row>
    <row r="225" spans="1:7" ht="27.75" customHeight="1" x14ac:dyDescent="0.25">
      <c r="A225" s="8">
        <v>5</v>
      </c>
      <c r="B225" s="9" t="str">
        <f>IF(SE!C40="","",SE!C40)</f>
        <v/>
      </c>
      <c r="C225" s="9" t="str">
        <f>IF(SE!D40="","",SE!D40)</f>
        <v/>
      </c>
      <c r="D225" s="9" t="str">
        <f>IF(SE!E40="","",SE!E40)</f>
        <v/>
      </c>
      <c r="E225" s="204" t="str">
        <f>IF(SE!F40="","",SE!F40)</f>
        <v/>
      </c>
      <c r="F225" s="208"/>
      <c r="G225" s="208"/>
    </row>
    <row r="227" spans="1:7" ht="18" customHeight="1" x14ac:dyDescent="0.25">
      <c r="A227" s="210" t="s">
        <v>309</v>
      </c>
      <c r="B227" s="210"/>
      <c r="C227" s="210"/>
      <c r="D227" s="210"/>
      <c r="E227" s="210"/>
      <c r="F227" s="210"/>
      <c r="G227" s="210"/>
    </row>
    <row r="228" spans="1:7" ht="21.75" customHeight="1" x14ac:dyDescent="0.25">
      <c r="A228" s="7" t="s">
        <v>29</v>
      </c>
      <c r="B228" s="7" t="s">
        <v>123</v>
      </c>
      <c r="C228" s="7" t="s">
        <v>124</v>
      </c>
      <c r="D228" s="7" t="s">
        <v>125</v>
      </c>
      <c r="E228" s="203" t="s">
        <v>126</v>
      </c>
      <c r="F228" s="207"/>
      <c r="G228" s="207"/>
    </row>
    <row r="229" spans="1:7" ht="27.75" customHeight="1" x14ac:dyDescent="0.25">
      <c r="A229" s="8">
        <v>1</v>
      </c>
      <c r="B229" s="9" t="str">
        <f>IF(SI!C36="","",SI!C36)</f>
        <v/>
      </c>
      <c r="C229" s="9" t="str">
        <f>IF(SI!D36="","",SI!D36)</f>
        <v/>
      </c>
      <c r="D229" s="9" t="str">
        <f>IF(SI!E36="","",SI!E36)</f>
        <v/>
      </c>
      <c r="E229" s="204" t="str">
        <f>IF(SI!F36="","",SI!F36)</f>
        <v/>
      </c>
      <c r="F229" s="208"/>
      <c r="G229" s="208"/>
    </row>
    <row r="230" spans="1:7" ht="27.75" customHeight="1" x14ac:dyDescent="0.25">
      <c r="A230" s="8">
        <v>2</v>
      </c>
      <c r="B230" s="9" t="str">
        <f>IF(SI!C37="","",SI!C37)</f>
        <v/>
      </c>
      <c r="C230" s="9" t="str">
        <f>IF(SI!D37="","",SI!D37)</f>
        <v/>
      </c>
      <c r="D230" s="9" t="str">
        <f>IF(SI!E37="","",SI!E37)</f>
        <v/>
      </c>
      <c r="E230" s="204" t="str">
        <f>IF(SI!F37="","",SI!F37)</f>
        <v/>
      </c>
      <c r="F230" s="208"/>
      <c r="G230" s="208"/>
    </row>
    <row r="231" spans="1:7" ht="27.75" customHeight="1" x14ac:dyDescent="0.25">
      <c r="A231" s="8">
        <v>3</v>
      </c>
      <c r="B231" s="9" t="str">
        <f>IF(SI!C38="","",SI!C38)</f>
        <v/>
      </c>
      <c r="C231" s="9" t="str">
        <f>IF(SI!D38="","",SI!D38)</f>
        <v/>
      </c>
      <c r="D231" s="9" t="str">
        <f>IF(SI!E38="","",SI!E38)</f>
        <v/>
      </c>
      <c r="E231" s="204" t="str">
        <f>IF(SI!F38="","",SI!F38)</f>
        <v/>
      </c>
      <c r="F231" s="208"/>
      <c r="G231" s="208"/>
    </row>
    <row r="232" spans="1:7" ht="27.75" customHeight="1" x14ac:dyDescent="0.25">
      <c r="A232" s="8">
        <v>4</v>
      </c>
      <c r="B232" s="9" t="str">
        <f>IF(SI!C39="","",SI!C39)</f>
        <v/>
      </c>
      <c r="C232" s="9" t="str">
        <f>IF(SI!D39="","",SI!D39)</f>
        <v/>
      </c>
      <c r="D232" s="9" t="str">
        <f>IF(SI!E39="","",SI!E39)</f>
        <v/>
      </c>
      <c r="E232" s="204" t="str">
        <f>IF(SI!F39="","",SI!F39)</f>
        <v/>
      </c>
      <c r="F232" s="208"/>
      <c r="G232" s="208"/>
    </row>
    <row r="233" spans="1:7" ht="27.75" customHeight="1" x14ac:dyDescent="0.25">
      <c r="A233" s="8">
        <v>5</v>
      </c>
      <c r="B233" s="9" t="str">
        <f>IF(SI!C40="","",SI!C40)</f>
        <v/>
      </c>
      <c r="C233" s="9" t="str">
        <f>IF(SI!D40="","",SI!D40)</f>
        <v/>
      </c>
      <c r="D233" s="9" t="str">
        <f>IF(SI!E40="","",SI!E40)</f>
        <v/>
      </c>
      <c r="E233" s="204" t="str">
        <f>IF(SI!F40="","",SI!F40)</f>
        <v/>
      </c>
      <c r="F233" s="208"/>
      <c r="G233" s="208"/>
    </row>
    <row r="235" spans="1:7" ht="18" customHeight="1" x14ac:dyDescent="0.25">
      <c r="A235" s="210" t="s">
        <v>310</v>
      </c>
      <c r="B235" s="210"/>
      <c r="C235" s="210"/>
      <c r="D235" s="210"/>
      <c r="E235" s="210"/>
      <c r="F235" s="210"/>
      <c r="G235" s="210"/>
    </row>
    <row r="236" spans="1:7" ht="21.75" customHeight="1" x14ac:dyDescent="0.25">
      <c r="A236" s="7" t="s">
        <v>29</v>
      </c>
      <c r="B236" s="7" t="s">
        <v>123</v>
      </c>
      <c r="C236" s="7" t="s">
        <v>124</v>
      </c>
      <c r="D236" s="7" t="s">
        <v>125</v>
      </c>
      <c r="E236" s="203" t="s">
        <v>126</v>
      </c>
      <c r="F236" s="207"/>
      <c r="G236" s="207"/>
    </row>
    <row r="237" spans="1:7" ht="27.75" customHeight="1" x14ac:dyDescent="0.25">
      <c r="A237" s="8">
        <v>1</v>
      </c>
      <c r="B237" s="9" t="str">
        <f>IF(FINANCES!C39="","",FINANCES!C39)</f>
        <v/>
      </c>
      <c r="C237" s="9" t="str">
        <f>IF(FINANCES!D39="","",FINANCES!D39)</f>
        <v/>
      </c>
      <c r="D237" s="9" t="str">
        <f>IF(FINANCES!E39="","",FINANCES!E39)</f>
        <v/>
      </c>
      <c r="E237" s="204" t="str">
        <f>IF(FINANCES!F39="","",FINANCES!F39)</f>
        <v/>
      </c>
      <c r="F237" s="208"/>
      <c r="G237" s="208"/>
    </row>
    <row r="238" spans="1:7" ht="27.75" customHeight="1" x14ac:dyDescent="0.25">
      <c r="A238" s="8">
        <v>2</v>
      </c>
      <c r="B238" s="9" t="str">
        <f>IF(FINANCES!C40="","",FINANCES!C40)</f>
        <v/>
      </c>
      <c r="C238" s="9" t="str">
        <f>IF(FINANCES!D40="","",FINANCES!D40)</f>
        <v/>
      </c>
      <c r="D238" s="9" t="str">
        <f>IF(FINANCES!E40="","",FINANCES!E40)</f>
        <v/>
      </c>
      <c r="E238" s="204" t="str">
        <f>IF(FINANCES!F40="","",FINANCES!F40)</f>
        <v/>
      </c>
      <c r="F238" s="208"/>
      <c r="G238" s="208"/>
    </row>
    <row r="239" spans="1:7" ht="27.75" customHeight="1" x14ac:dyDescent="0.25">
      <c r="A239" s="8">
        <v>3</v>
      </c>
      <c r="B239" s="9" t="str">
        <f>IF(FINANCES!C41="","",FINANCES!C41)</f>
        <v/>
      </c>
      <c r="C239" s="9" t="str">
        <f>IF(FINANCES!D41="","",FINANCES!D41)</f>
        <v/>
      </c>
      <c r="D239" s="9" t="str">
        <f>IF(FINANCES!E41="","",FINANCES!E41)</f>
        <v/>
      </c>
      <c r="E239" s="204" t="str">
        <f>IF(FINANCES!F41="","",FINANCES!F41)</f>
        <v/>
      </c>
      <c r="F239" s="208"/>
      <c r="G239" s="208"/>
    </row>
    <row r="240" spans="1:7" ht="27.75" customHeight="1" x14ac:dyDescent="0.25">
      <c r="A240" s="8">
        <v>4</v>
      </c>
      <c r="B240" s="9" t="str">
        <f>IF(FINANCES!C42="","",FINANCES!C42)</f>
        <v/>
      </c>
      <c r="C240" s="9" t="str">
        <f>IF(FINANCES!D42="","",FINANCES!D42)</f>
        <v/>
      </c>
      <c r="D240" s="9" t="str">
        <f>IF(FINANCES!E42="","",FINANCES!E42)</f>
        <v/>
      </c>
      <c r="E240" s="204" t="str">
        <f>IF(FINANCES!F42="","",FINANCES!F42)</f>
        <v/>
      </c>
      <c r="F240" s="208"/>
      <c r="G240" s="208"/>
    </row>
    <row r="241" spans="1:7" ht="27.75" customHeight="1" x14ac:dyDescent="0.25">
      <c r="A241" s="8">
        <v>5</v>
      </c>
      <c r="B241" s="9" t="str">
        <f>IF(FINANCES!C43="","",FINANCES!C43)</f>
        <v/>
      </c>
      <c r="C241" s="9" t="str">
        <f>IF(FINANCES!D43="","",FINANCES!D43)</f>
        <v/>
      </c>
      <c r="D241" s="9" t="str">
        <f>IF(FINANCES!E43="","",FINANCES!E43)</f>
        <v/>
      </c>
      <c r="E241" s="204" t="str">
        <f>IF(FINANCES!F43="","",FINANCES!F43)</f>
        <v/>
      </c>
      <c r="F241" s="208"/>
      <c r="G241" s="208"/>
    </row>
    <row r="243" spans="1:7" ht="18" customHeight="1" x14ac:dyDescent="0.25">
      <c r="A243" s="210" t="s">
        <v>311</v>
      </c>
      <c r="B243" s="210"/>
      <c r="C243" s="210"/>
      <c r="D243" s="210"/>
      <c r="E243" s="210"/>
      <c r="F243" s="210"/>
      <c r="G243" s="210"/>
    </row>
    <row r="244" spans="1:7" ht="21.75" customHeight="1" x14ac:dyDescent="0.25">
      <c r="A244" s="7" t="s">
        <v>29</v>
      </c>
      <c r="B244" s="7" t="s">
        <v>123</v>
      </c>
      <c r="C244" s="7" t="s">
        <v>124</v>
      </c>
      <c r="D244" s="7" t="s">
        <v>125</v>
      </c>
      <c r="E244" s="203" t="s">
        <v>126</v>
      </c>
      <c r="F244" s="207"/>
      <c r="G244" s="207"/>
    </row>
    <row r="245" spans="1:7" ht="27.75" customHeight="1" x14ac:dyDescent="0.25">
      <c r="A245" s="8">
        <v>1</v>
      </c>
      <c r="B245" s="9" t="str">
        <f>IF(CAC!C39="","",CAC!C39)</f>
        <v/>
      </c>
      <c r="C245" s="9" t="str">
        <f>IF(CAC!D39="","",CAC!D39)</f>
        <v/>
      </c>
      <c r="D245" s="9" t="str">
        <f>IF(CAC!E39="","",CAC!E39)</f>
        <v/>
      </c>
      <c r="E245" s="204" t="str">
        <f>IF(CAC!F39="","",CAC!F39)</f>
        <v/>
      </c>
      <c r="F245" s="208"/>
      <c r="G245" s="208"/>
    </row>
    <row r="246" spans="1:7" ht="27.75" customHeight="1" x14ac:dyDescent="0.25">
      <c r="A246" s="8">
        <v>2</v>
      </c>
      <c r="B246" s="9" t="str">
        <f>IF(CAC!C40="","",CAC!C40)</f>
        <v/>
      </c>
      <c r="C246" s="9" t="str">
        <f>IF(CAC!D40="","",CAC!D40)</f>
        <v/>
      </c>
      <c r="D246" s="9" t="str">
        <f>IF(CAC!E40="","",CAC!E40)</f>
        <v/>
      </c>
      <c r="E246" s="204" t="str">
        <f>IF(CAC!F40="","",CAC!F40)</f>
        <v/>
      </c>
      <c r="F246" s="208"/>
      <c r="G246" s="208"/>
    </row>
    <row r="247" spans="1:7" ht="27.75" customHeight="1" x14ac:dyDescent="0.25">
      <c r="A247" s="8">
        <v>3</v>
      </c>
      <c r="B247" s="9" t="str">
        <f>IF(CAC!C41="","",CAC!C41)</f>
        <v/>
      </c>
      <c r="C247" s="9" t="str">
        <f>IF(CAC!D41="","",CAC!D41)</f>
        <v/>
      </c>
      <c r="D247" s="9" t="str">
        <f>IF(CAC!E41="","",CAC!E41)</f>
        <v/>
      </c>
      <c r="E247" s="204" t="str">
        <f>IF(CAC!F41="","",CAC!F41)</f>
        <v/>
      </c>
      <c r="F247" s="208"/>
      <c r="G247" s="208"/>
    </row>
    <row r="248" spans="1:7" ht="27.75" customHeight="1" x14ac:dyDescent="0.25">
      <c r="A248" s="8">
        <v>4</v>
      </c>
      <c r="B248" s="9" t="str">
        <f>IF(CAC!C42="","",CAC!C42)</f>
        <v/>
      </c>
      <c r="C248" s="9" t="str">
        <f>IF(CAC!D42="","",CAC!D42)</f>
        <v/>
      </c>
      <c r="D248" s="9" t="str">
        <f>IF(CAC!E42="","",CAC!E42)</f>
        <v/>
      </c>
      <c r="E248" s="204" t="str">
        <f>IF(CAC!F42="","",CAC!F42)</f>
        <v/>
      </c>
      <c r="F248" s="208"/>
      <c r="G248" s="208"/>
    </row>
    <row r="249" spans="1:7" ht="27.75" customHeight="1" x14ac:dyDescent="0.25">
      <c r="A249" s="8">
        <v>5</v>
      </c>
      <c r="B249" s="9" t="str">
        <f>IF(CAC!C43="","",CAC!C43)</f>
        <v/>
      </c>
      <c r="C249" s="9" t="str">
        <f>IF(CAC!D43="","",CAC!D43)</f>
        <v/>
      </c>
      <c r="D249" s="9" t="str">
        <f>IF(CAC!E43="","",CAC!E43)</f>
        <v/>
      </c>
      <c r="E249" s="204" t="str">
        <f>IF(CAC!F43="","",CAC!F43)</f>
        <v/>
      </c>
      <c r="F249" s="208"/>
      <c r="G249" s="208"/>
    </row>
    <row r="251" spans="1:7" ht="18" customHeight="1" x14ac:dyDescent="0.25">
      <c r="A251" s="210" t="s">
        <v>312</v>
      </c>
      <c r="B251" s="210"/>
      <c r="C251" s="210"/>
      <c r="D251" s="210"/>
      <c r="E251" s="210"/>
      <c r="F251" s="210"/>
      <c r="G251" s="210"/>
    </row>
    <row r="252" spans="1:7" ht="21.75" customHeight="1" x14ac:dyDescent="0.25">
      <c r="A252" s="7" t="s">
        <v>29</v>
      </c>
      <c r="B252" s="7" t="s">
        <v>123</v>
      </c>
      <c r="C252" s="7" t="s">
        <v>124</v>
      </c>
      <c r="D252" s="7" t="s">
        <v>125</v>
      </c>
      <c r="E252" s="203" t="s">
        <v>126</v>
      </c>
      <c r="F252" s="207"/>
      <c r="G252" s="207"/>
    </row>
    <row r="253" spans="1:7" ht="27.75" customHeight="1" x14ac:dyDescent="0.25">
      <c r="A253" s="8">
        <v>1</v>
      </c>
      <c r="B253" s="9" t="str">
        <f>IF(COM!C39="","",COM!C39)</f>
        <v/>
      </c>
      <c r="C253" s="9" t="str">
        <f>IF(COM!D39="","",COM!D39)</f>
        <v/>
      </c>
      <c r="D253" s="9" t="str">
        <f>IF(COM!E39="","",COM!E39)</f>
        <v/>
      </c>
      <c r="E253" s="204" t="str">
        <f>IF(COM!F39="","",COM!F39)</f>
        <v/>
      </c>
      <c r="F253" s="208"/>
      <c r="G253" s="208"/>
    </row>
    <row r="254" spans="1:7" ht="27.75" customHeight="1" x14ac:dyDescent="0.25">
      <c r="A254" s="8">
        <v>2</v>
      </c>
      <c r="B254" s="9" t="str">
        <f>IF(COM!C40="","",COM!C40)</f>
        <v/>
      </c>
      <c r="C254" s="9" t="str">
        <f>IF(COM!D40="","",COM!D40)</f>
        <v/>
      </c>
      <c r="D254" s="9" t="str">
        <f>IF(COM!E40="","",COM!E40)</f>
        <v/>
      </c>
      <c r="E254" s="204" t="str">
        <f>IF(COM!F40="","",COM!F40)</f>
        <v/>
      </c>
      <c r="F254" s="208"/>
      <c r="G254" s="208"/>
    </row>
    <row r="255" spans="1:7" ht="27.75" customHeight="1" x14ac:dyDescent="0.25">
      <c r="A255" s="8">
        <v>3</v>
      </c>
      <c r="B255" s="9" t="str">
        <f>IF(COM!C41="","",COM!C41)</f>
        <v/>
      </c>
      <c r="C255" s="9" t="str">
        <f>IF(COM!D41="","",COM!D41)</f>
        <v/>
      </c>
      <c r="D255" s="9" t="str">
        <f>IF(COM!E41="","",COM!E41)</f>
        <v/>
      </c>
      <c r="E255" s="204" t="str">
        <f>IF(COM!F41="","",COM!F41)</f>
        <v/>
      </c>
      <c r="F255" s="208"/>
      <c r="G255" s="208"/>
    </row>
    <row r="256" spans="1:7" ht="27.75" customHeight="1" x14ac:dyDescent="0.25">
      <c r="A256" s="8">
        <v>4</v>
      </c>
      <c r="B256" s="9" t="str">
        <f>IF(COM!C42="","",COM!C42)</f>
        <v/>
      </c>
      <c r="C256" s="9" t="str">
        <f>IF(COM!D42="","",COM!D42)</f>
        <v/>
      </c>
      <c r="D256" s="9" t="str">
        <f>IF(COM!E42="","",COM!E42)</f>
        <v/>
      </c>
      <c r="E256" s="204" t="str">
        <f>IF(COM!F42="","",COM!F42)</f>
        <v/>
      </c>
      <c r="F256" s="208"/>
      <c r="G256" s="208"/>
    </row>
    <row r="257" spans="1:7" ht="27.75" customHeight="1" x14ac:dyDescent="0.25">
      <c r="A257" s="8">
        <v>5</v>
      </c>
      <c r="B257" s="9" t="str">
        <f>IF(COM!C43="","",COM!C43)</f>
        <v/>
      </c>
      <c r="C257" s="9" t="str">
        <f>IF(COM!D43="","",COM!D43)</f>
        <v/>
      </c>
      <c r="D257" s="9" t="str">
        <f>IF(COM!E43="","",COM!E43)</f>
        <v/>
      </c>
      <c r="E257" s="204" t="str">
        <f>IF(COM!F43="","",COM!F43)</f>
        <v/>
      </c>
      <c r="F257" s="208"/>
      <c r="G257" s="208"/>
    </row>
  </sheetData>
  <mergeCells count="148">
    <mergeCell ref="A1:G1"/>
    <mergeCell ref="A2:D2"/>
    <mergeCell ref="E2:G2"/>
    <mergeCell ref="A4:G4"/>
    <mergeCell ref="A5:G5"/>
    <mergeCell ref="F6:G6"/>
    <mergeCell ref="F7:G7"/>
    <mergeCell ref="F8:G8"/>
    <mergeCell ref="F9:G9"/>
    <mergeCell ref="F10:G10"/>
    <mergeCell ref="F11:G11"/>
    <mergeCell ref="F12:G12"/>
    <mergeCell ref="F13:G13"/>
    <mergeCell ref="F14:G14"/>
    <mergeCell ref="A16:G16"/>
    <mergeCell ref="F17:G17"/>
    <mergeCell ref="F18:G18"/>
    <mergeCell ref="F19:G19"/>
    <mergeCell ref="F20:G20"/>
    <mergeCell ref="F21:G21"/>
    <mergeCell ref="F22:G22"/>
    <mergeCell ref="F23:G23"/>
    <mergeCell ref="F24:G24"/>
    <mergeCell ref="F25:G25"/>
    <mergeCell ref="A27:G27"/>
    <mergeCell ref="F28:G28"/>
    <mergeCell ref="F29:G29"/>
    <mergeCell ref="F40:G40"/>
    <mergeCell ref="F41:G41"/>
    <mergeCell ref="F42:G42"/>
    <mergeCell ref="F43:G43"/>
    <mergeCell ref="F44:G44"/>
    <mergeCell ref="F45:G45"/>
    <mergeCell ref="A47:G47"/>
    <mergeCell ref="F48:G48"/>
    <mergeCell ref="F30:G30"/>
    <mergeCell ref="F31:G31"/>
    <mergeCell ref="F32:G32"/>
    <mergeCell ref="F33:G33"/>
    <mergeCell ref="F34:G34"/>
    <mergeCell ref="F35:G35"/>
    <mergeCell ref="F36:G36"/>
    <mergeCell ref="A38:G38"/>
    <mergeCell ref="F39:G39"/>
    <mergeCell ref="F49:G49"/>
    <mergeCell ref="F50:G50"/>
    <mergeCell ref="F51:G51"/>
    <mergeCell ref="F52:G52"/>
    <mergeCell ref="F53:G53"/>
    <mergeCell ref="F54:G54"/>
    <mergeCell ref="F55:G55"/>
    <mergeCell ref="F56:G56"/>
    <mergeCell ref="A58:G58"/>
    <mergeCell ref="F59:G59"/>
    <mergeCell ref="F60:G60"/>
    <mergeCell ref="F61:G61"/>
    <mergeCell ref="F62:G62"/>
    <mergeCell ref="F63:G63"/>
    <mergeCell ref="F64:G64"/>
    <mergeCell ref="F65:G65"/>
    <mergeCell ref="F66:G66"/>
    <mergeCell ref="F67:G67"/>
    <mergeCell ref="A69:G69"/>
    <mergeCell ref="F70:G70"/>
    <mergeCell ref="F71:G71"/>
    <mergeCell ref="F72:G72"/>
    <mergeCell ref="F73:G73"/>
    <mergeCell ref="F74:G74"/>
    <mergeCell ref="F75:G75"/>
    <mergeCell ref="F76:G76"/>
    <mergeCell ref="F77:G77"/>
    <mergeCell ref="F78:G78"/>
    <mergeCell ref="A80:G80"/>
    <mergeCell ref="F81:G81"/>
    <mergeCell ref="F82:G82"/>
    <mergeCell ref="F83:G83"/>
    <mergeCell ref="F84:G84"/>
    <mergeCell ref="F85:G85"/>
    <mergeCell ref="F86:G86"/>
    <mergeCell ref="F87:G87"/>
    <mergeCell ref="F88:G88"/>
    <mergeCell ref="F89:G89"/>
    <mergeCell ref="A92:G92"/>
    <mergeCell ref="A93:G93"/>
    <mergeCell ref="A106:G106"/>
    <mergeCell ref="A119:G119"/>
    <mergeCell ref="A132:G132"/>
    <mergeCell ref="A144:G144"/>
    <mergeCell ref="A154:G154"/>
    <mergeCell ref="A167:G167"/>
    <mergeCell ref="A180:G180"/>
    <mergeCell ref="A194:G194"/>
    <mergeCell ref="A195:G195"/>
    <mergeCell ref="F196:G196"/>
    <mergeCell ref="F197:G197"/>
    <mergeCell ref="F198:G198"/>
    <mergeCell ref="F199:G199"/>
    <mergeCell ref="F200:G200"/>
    <mergeCell ref="F201:G201"/>
    <mergeCell ref="A203:G203"/>
    <mergeCell ref="F204:G204"/>
    <mergeCell ref="F205:G205"/>
    <mergeCell ref="F206:G206"/>
    <mergeCell ref="F207:G207"/>
    <mergeCell ref="F208:G208"/>
    <mergeCell ref="F209:G209"/>
    <mergeCell ref="A211:G211"/>
    <mergeCell ref="F212:G212"/>
    <mergeCell ref="F213:G213"/>
    <mergeCell ref="F214:G214"/>
    <mergeCell ref="F215:G215"/>
    <mergeCell ref="F216:G216"/>
    <mergeCell ref="F217:G217"/>
    <mergeCell ref="A219:G219"/>
    <mergeCell ref="F220:G220"/>
    <mergeCell ref="F221:G221"/>
    <mergeCell ref="F222:G222"/>
    <mergeCell ref="F223:G223"/>
    <mergeCell ref="F224:G224"/>
    <mergeCell ref="F225:G225"/>
    <mergeCell ref="A227:G227"/>
    <mergeCell ref="F228:G228"/>
    <mergeCell ref="F229:G229"/>
    <mergeCell ref="F230:G230"/>
    <mergeCell ref="F231:G231"/>
    <mergeCell ref="F232:G232"/>
    <mergeCell ref="F233:G233"/>
    <mergeCell ref="A235:G235"/>
    <mergeCell ref="F236:G236"/>
    <mergeCell ref="F237:G237"/>
    <mergeCell ref="F238:G238"/>
    <mergeCell ref="F239:G239"/>
    <mergeCell ref="F240:G240"/>
    <mergeCell ref="F252:G252"/>
    <mergeCell ref="F253:G253"/>
    <mergeCell ref="F254:G254"/>
    <mergeCell ref="F255:G255"/>
    <mergeCell ref="F256:G256"/>
    <mergeCell ref="F257:G257"/>
    <mergeCell ref="F241:G241"/>
    <mergeCell ref="A243:G243"/>
    <mergeCell ref="F244:G244"/>
    <mergeCell ref="F245:G245"/>
    <mergeCell ref="F246:G246"/>
    <mergeCell ref="F247:G247"/>
    <mergeCell ref="F248:G248"/>
    <mergeCell ref="F249:G249"/>
    <mergeCell ref="A251:G251"/>
  </mergeCells>
  <pageMargins left="0.75" right="0.75" top="1" bottom="1"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BC2C5-E0FA-4877-88F6-EC7E27A8AC51}">
  <sheetPr>
    <tabColor rgb="FF375623"/>
    <pageSetUpPr fitToPage="1"/>
  </sheetPr>
  <dimension ref="A1:G90"/>
  <sheetViews>
    <sheetView showGridLines="0" tabSelected="1" zoomScale="108" zoomScaleNormal="100" workbookViewId="0">
      <pane ySplit="3" topLeftCell="A21" activePane="bottomLeft" state="frozen"/>
      <selection pane="bottomLeft" activeCell="I26" sqref="I26"/>
    </sheetView>
  </sheetViews>
  <sheetFormatPr baseColWidth="10" defaultColWidth="8.5703125" defaultRowHeight="15" x14ac:dyDescent="0.25"/>
  <cols>
    <col min="1" max="1" width="2.85546875" customWidth="1"/>
    <col min="2" max="2" width="30" customWidth="1"/>
    <col min="3" max="3" width="32" customWidth="1"/>
    <col min="4" max="4" width="23.28515625" customWidth="1"/>
    <col min="5" max="5" width="16" style="205" customWidth="1"/>
    <col min="6" max="6" width="20" customWidth="1"/>
    <col min="7" max="7" width="30" customWidth="1"/>
  </cols>
  <sheetData>
    <row r="1" spans="1:7" ht="30" customHeight="1" x14ac:dyDescent="0.25">
      <c r="A1" s="220" t="s">
        <v>300</v>
      </c>
      <c r="B1" s="220"/>
      <c r="C1" s="220"/>
      <c r="D1" s="220"/>
      <c r="E1" s="220"/>
      <c r="F1" s="220"/>
      <c r="G1" s="220"/>
    </row>
    <row r="2" spans="1:7" ht="18" customHeight="1" x14ac:dyDescent="0.25">
      <c r="A2" s="221" t="s">
        <v>301</v>
      </c>
      <c r="B2" s="221"/>
      <c r="C2" s="221"/>
      <c r="D2" s="221"/>
      <c r="E2" s="222" t="s">
        <v>2095</v>
      </c>
      <c r="F2" s="222"/>
      <c r="G2" s="222"/>
    </row>
    <row r="4" spans="1:7" ht="24" customHeight="1" x14ac:dyDescent="0.25">
      <c r="A4" s="223" t="s">
        <v>303</v>
      </c>
      <c r="B4" s="223"/>
      <c r="C4" s="223"/>
      <c r="D4" s="223"/>
      <c r="E4" s="223"/>
      <c r="F4" s="223"/>
      <c r="G4" s="223"/>
    </row>
    <row r="5" spans="1:7" ht="18" customHeight="1" x14ac:dyDescent="0.25">
      <c r="A5" s="217" t="s">
        <v>304</v>
      </c>
      <c r="B5" s="217"/>
      <c r="C5" s="217"/>
      <c r="D5" s="217"/>
      <c r="E5" s="217"/>
      <c r="F5" s="217"/>
      <c r="G5" s="217"/>
    </row>
    <row r="6" spans="1:7" ht="21.75" customHeight="1" x14ac:dyDescent="0.25">
      <c r="A6" s="7" t="s">
        <v>29</v>
      </c>
      <c r="B6" s="7" t="s">
        <v>305</v>
      </c>
      <c r="C6" s="7" t="s">
        <v>32</v>
      </c>
      <c r="D6" s="7" t="s">
        <v>33</v>
      </c>
      <c r="E6" s="203" t="s">
        <v>34</v>
      </c>
      <c r="F6" s="207" t="s">
        <v>35</v>
      </c>
      <c r="G6" s="207"/>
    </row>
    <row r="7" spans="1:7" ht="156" x14ac:dyDescent="0.25">
      <c r="A7" s="8">
        <v>1</v>
      </c>
      <c r="B7" s="9" t="s">
        <v>37</v>
      </c>
      <c r="C7" s="9" t="s">
        <v>38</v>
      </c>
      <c r="D7" s="9" t="s">
        <v>39</v>
      </c>
      <c r="E7" s="204">
        <v>46168</v>
      </c>
      <c r="F7" s="216" t="s">
        <v>40</v>
      </c>
      <c r="G7" s="216"/>
    </row>
    <row r="8" spans="1:7" ht="48" x14ac:dyDescent="0.25">
      <c r="A8" s="8">
        <v>2</v>
      </c>
      <c r="B8" s="9" t="s">
        <v>41</v>
      </c>
      <c r="C8" s="9" t="s">
        <v>42</v>
      </c>
      <c r="D8" s="9" t="s">
        <v>43</v>
      </c>
      <c r="E8" s="204" t="s">
        <v>44</v>
      </c>
      <c r="F8" s="216" t="s">
        <v>45</v>
      </c>
      <c r="G8" s="216"/>
    </row>
    <row r="9" spans="1:7" ht="60" x14ac:dyDescent="0.25">
      <c r="A9" s="8">
        <v>3</v>
      </c>
      <c r="B9" s="9" t="s">
        <v>46</v>
      </c>
      <c r="C9" s="9" t="s">
        <v>47</v>
      </c>
      <c r="D9" s="9" t="s">
        <v>48</v>
      </c>
      <c r="E9" s="204" t="s">
        <v>44</v>
      </c>
      <c r="F9" s="216" t="s">
        <v>49</v>
      </c>
      <c r="G9" s="216"/>
    </row>
    <row r="10" spans="1:7" ht="48" x14ac:dyDescent="0.25">
      <c r="A10" s="8">
        <v>5</v>
      </c>
      <c r="B10" s="9" t="s">
        <v>54</v>
      </c>
      <c r="C10" s="9" t="s">
        <v>55</v>
      </c>
      <c r="D10" s="9" t="s">
        <v>56</v>
      </c>
      <c r="E10" s="204" t="s">
        <v>57</v>
      </c>
      <c r="F10" s="216" t="s">
        <v>58</v>
      </c>
      <c r="G10" s="216"/>
    </row>
    <row r="11" spans="1:7" ht="48" x14ac:dyDescent="0.25">
      <c r="A11" s="8">
        <v>6</v>
      </c>
      <c r="B11" s="9" t="s">
        <v>46</v>
      </c>
      <c r="C11" s="9" t="s">
        <v>59</v>
      </c>
      <c r="D11" s="9" t="s">
        <v>60</v>
      </c>
      <c r="E11" s="204" t="s">
        <v>61</v>
      </c>
      <c r="F11" s="216" t="s">
        <v>62</v>
      </c>
      <c r="G11" s="216"/>
    </row>
    <row r="12" spans="1:7" ht="48" x14ac:dyDescent="0.25">
      <c r="A12" s="8">
        <v>7</v>
      </c>
      <c r="B12" s="9" t="s">
        <v>64</v>
      </c>
      <c r="C12" s="9" t="s">
        <v>65</v>
      </c>
      <c r="D12" s="9" t="s">
        <v>66</v>
      </c>
      <c r="E12" s="204" t="s">
        <v>67</v>
      </c>
      <c r="F12" s="216" t="s">
        <v>68</v>
      </c>
      <c r="G12" s="216"/>
    </row>
    <row r="14" spans="1:7" ht="18" customHeight="1" x14ac:dyDescent="0.25">
      <c r="A14" s="217" t="s">
        <v>307</v>
      </c>
      <c r="B14" s="217"/>
      <c r="C14" s="217"/>
      <c r="D14" s="217"/>
      <c r="E14" s="217"/>
      <c r="F14" s="217"/>
      <c r="G14" s="217"/>
    </row>
    <row r="15" spans="1:7" ht="21.75" customHeight="1" x14ac:dyDescent="0.25">
      <c r="A15" s="7" t="s">
        <v>29</v>
      </c>
      <c r="B15" s="7" t="s">
        <v>305</v>
      </c>
      <c r="C15" s="7" t="s">
        <v>32</v>
      </c>
      <c r="D15" s="7" t="s">
        <v>33</v>
      </c>
      <c r="E15" s="203" t="s">
        <v>34</v>
      </c>
      <c r="F15" s="207" t="s">
        <v>35</v>
      </c>
      <c r="G15" s="207"/>
    </row>
    <row r="16" spans="1:7" ht="72" x14ac:dyDescent="0.25">
      <c r="A16" s="8">
        <v>1</v>
      </c>
      <c r="B16" s="9" t="s">
        <v>170</v>
      </c>
      <c r="C16" s="9" t="s">
        <v>171</v>
      </c>
      <c r="D16" s="9" t="s">
        <v>172</v>
      </c>
      <c r="E16" s="204">
        <v>46168</v>
      </c>
      <c r="F16" s="216" t="s">
        <v>2091</v>
      </c>
      <c r="G16" s="216"/>
    </row>
    <row r="17" spans="1:7" ht="48" x14ac:dyDescent="0.25">
      <c r="A17" s="8">
        <v>2</v>
      </c>
      <c r="B17" s="9" t="s">
        <v>175</v>
      </c>
      <c r="C17" s="9" t="s">
        <v>176</v>
      </c>
      <c r="D17" s="9" t="s">
        <v>177</v>
      </c>
      <c r="E17" s="204">
        <v>46171</v>
      </c>
      <c r="F17" s="216" t="s">
        <v>2092</v>
      </c>
      <c r="G17" s="216"/>
    </row>
    <row r="18" spans="1:7" ht="48" x14ac:dyDescent="0.25">
      <c r="A18" s="8">
        <v>3</v>
      </c>
      <c r="B18" s="9" t="s">
        <v>180</v>
      </c>
      <c r="C18" s="9" t="s">
        <v>181</v>
      </c>
      <c r="D18" s="9" t="s">
        <v>177</v>
      </c>
      <c r="E18" s="204">
        <v>46170</v>
      </c>
      <c r="F18" s="216" t="s">
        <v>182</v>
      </c>
      <c r="G18" s="216"/>
    </row>
    <row r="19" spans="1:7" ht="48" x14ac:dyDescent="0.25">
      <c r="A19" s="8">
        <v>4</v>
      </c>
      <c r="B19" s="9" t="s">
        <v>184</v>
      </c>
      <c r="C19" s="9" t="s">
        <v>185</v>
      </c>
      <c r="D19" s="9" t="s">
        <v>186</v>
      </c>
      <c r="E19" s="204" t="s">
        <v>2093</v>
      </c>
      <c r="F19" s="216" t="s">
        <v>188</v>
      </c>
      <c r="G19" s="216"/>
    </row>
    <row r="20" spans="1:7" ht="36" x14ac:dyDescent="0.25">
      <c r="A20" s="8">
        <v>5</v>
      </c>
      <c r="B20" s="9" t="s">
        <v>136</v>
      </c>
      <c r="C20" s="9" t="s">
        <v>189</v>
      </c>
      <c r="D20" s="9" t="s">
        <v>186</v>
      </c>
      <c r="E20" s="204" t="s">
        <v>190</v>
      </c>
      <c r="F20" s="218" t="s">
        <v>191</v>
      </c>
      <c r="G20" s="219"/>
    </row>
    <row r="21" spans="1:7" ht="36" x14ac:dyDescent="0.25">
      <c r="A21" s="8">
        <v>6</v>
      </c>
      <c r="B21" s="9" t="s">
        <v>193</v>
      </c>
      <c r="C21" s="9" t="s">
        <v>194</v>
      </c>
      <c r="D21" s="9" t="s">
        <v>186</v>
      </c>
      <c r="E21" s="204" t="s">
        <v>2094</v>
      </c>
      <c r="F21" s="216" t="s">
        <v>196</v>
      </c>
      <c r="G21" s="216"/>
    </row>
    <row r="22" spans="1:7" ht="36" x14ac:dyDescent="0.25">
      <c r="A22" s="8">
        <v>7</v>
      </c>
      <c r="B22" s="9" t="s">
        <v>197</v>
      </c>
      <c r="C22" s="9" t="s">
        <v>189</v>
      </c>
      <c r="D22" s="9" t="s">
        <v>186</v>
      </c>
      <c r="E22" s="204" t="s">
        <v>2094</v>
      </c>
      <c r="F22" s="216" t="s">
        <v>2090</v>
      </c>
      <c r="G22" s="216"/>
    </row>
    <row r="24" spans="1:7" ht="18" customHeight="1" x14ac:dyDescent="0.25">
      <c r="A24" s="217" t="s">
        <v>311</v>
      </c>
      <c r="B24" s="217"/>
      <c r="C24" s="217"/>
      <c r="D24" s="217"/>
      <c r="E24" s="217"/>
      <c r="F24" s="217"/>
      <c r="G24" s="217"/>
    </row>
    <row r="25" spans="1:7" ht="21.75" customHeight="1" x14ac:dyDescent="0.25">
      <c r="A25" s="7" t="s">
        <v>29</v>
      </c>
      <c r="B25" s="7" t="s">
        <v>305</v>
      </c>
      <c r="C25" s="7" t="s">
        <v>32</v>
      </c>
      <c r="D25" s="7" t="s">
        <v>33</v>
      </c>
      <c r="E25" s="203" t="s">
        <v>34</v>
      </c>
      <c r="F25" s="207" t="s">
        <v>35</v>
      </c>
      <c r="G25" s="207"/>
    </row>
    <row r="26" spans="1:7" ht="96" x14ac:dyDescent="0.25">
      <c r="A26" s="8">
        <v>1</v>
      </c>
      <c r="B26" s="9" t="s">
        <v>130</v>
      </c>
      <c r="C26" s="9" t="s">
        <v>131</v>
      </c>
      <c r="D26" s="9" t="s">
        <v>132</v>
      </c>
      <c r="E26" s="204" t="s">
        <v>133</v>
      </c>
      <c r="F26" s="216" t="s">
        <v>134</v>
      </c>
      <c r="G26" s="216"/>
    </row>
    <row r="28" spans="1:7" ht="24" customHeight="1" x14ac:dyDescent="0.25">
      <c r="A28" s="215" t="s">
        <v>313</v>
      </c>
      <c r="B28" s="215"/>
      <c r="C28" s="215"/>
      <c r="D28" s="215"/>
      <c r="E28" s="215"/>
      <c r="F28" s="215"/>
      <c r="G28" s="215"/>
    </row>
    <row r="29" spans="1:7" ht="18" customHeight="1" x14ac:dyDescent="0.25">
      <c r="A29" s="213" t="s">
        <v>304</v>
      </c>
      <c r="B29" s="213"/>
      <c r="C29" s="213"/>
      <c r="D29" s="213"/>
      <c r="E29" s="213"/>
      <c r="F29" s="213"/>
      <c r="G29" s="213"/>
    </row>
    <row r="30" spans="1:7" ht="21.75" customHeight="1" x14ac:dyDescent="0.25">
      <c r="A30" s="7" t="s">
        <v>29</v>
      </c>
      <c r="B30" s="7" t="s">
        <v>305</v>
      </c>
      <c r="C30" s="7" t="s">
        <v>32</v>
      </c>
      <c r="D30" s="7" t="s">
        <v>33</v>
      </c>
      <c r="E30" s="203" t="s">
        <v>72</v>
      </c>
      <c r="F30" s="7" t="s">
        <v>73</v>
      </c>
      <c r="G30" s="7" t="s">
        <v>74</v>
      </c>
    </row>
    <row r="31" spans="1:7" ht="204" x14ac:dyDescent="0.25">
      <c r="A31" s="8">
        <v>1</v>
      </c>
      <c r="B31" s="9" t="s">
        <v>46</v>
      </c>
      <c r="C31" s="9" t="s">
        <v>75</v>
      </c>
      <c r="D31" s="9" t="s">
        <v>76</v>
      </c>
      <c r="E31" s="204" t="s">
        <v>77</v>
      </c>
      <c r="F31" s="9" t="s">
        <v>78</v>
      </c>
      <c r="G31" s="9" t="s">
        <v>79</v>
      </c>
    </row>
    <row r="32" spans="1:7" ht="156" x14ac:dyDescent="0.25">
      <c r="A32" s="8">
        <v>2</v>
      </c>
      <c r="B32" s="9" t="s">
        <v>37</v>
      </c>
      <c r="C32" s="9" t="s">
        <v>38</v>
      </c>
      <c r="D32" s="9" t="s">
        <v>84</v>
      </c>
      <c r="E32" s="204" t="s">
        <v>85</v>
      </c>
      <c r="F32" s="9" t="s">
        <v>78</v>
      </c>
      <c r="G32" s="9" t="s">
        <v>86</v>
      </c>
    </row>
    <row r="33" spans="1:7" ht="168" x14ac:dyDescent="0.25">
      <c r="A33" s="8">
        <v>3</v>
      </c>
      <c r="B33" s="9" t="s">
        <v>37</v>
      </c>
      <c r="C33" s="9" t="s">
        <v>87</v>
      </c>
      <c r="D33" s="9" t="s">
        <v>88</v>
      </c>
      <c r="E33" s="204" t="s">
        <v>89</v>
      </c>
      <c r="F33" s="9" t="s">
        <v>78</v>
      </c>
      <c r="G33" s="9" t="s">
        <v>90</v>
      </c>
    </row>
    <row r="34" spans="1:7" ht="108" x14ac:dyDescent="0.25">
      <c r="A34" s="8">
        <v>4</v>
      </c>
      <c r="B34" s="9" t="s">
        <v>41</v>
      </c>
      <c r="C34" s="9" t="s">
        <v>91</v>
      </c>
      <c r="D34" s="9" t="s">
        <v>92</v>
      </c>
      <c r="E34" s="204" t="s">
        <v>93</v>
      </c>
      <c r="F34" s="9" t="s">
        <v>78</v>
      </c>
      <c r="G34" s="9" t="s">
        <v>94</v>
      </c>
    </row>
    <row r="35" spans="1:7" ht="48" x14ac:dyDescent="0.25">
      <c r="A35" s="8">
        <v>5</v>
      </c>
      <c r="B35" s="9" t="s">
        <v>54</v>
      </c>
      <c r="C35" s="9" t="s">
        <v>95</v>
      </c>
      <c r="D35" s="9" t="s">
        <v>96</v>
      </c>
      <c r="E35" s="204" t="s">
        <v>97</v>
      </c>
      <c r="F35" s="9" t="s">
        <v>78</v>
      </c>
      <c r="G35" s="9" t="s">
        <v>98</v>
      </c>
    </row>
    <row r="36" spans="1:7" ht="60" x14ac:dyDescent="0.25">
      <c r="A36" s="8">
        <v>6</v>
      </c>
      <c r="B36" s="9" t="s">
        <v>99</v>
      </c>
      <c r="C36" s="9" t="s">
        <v>100</v>
      </c>
      <c r="D36" s="9" t="s">
        <v>101</v>
      </c>
      <c r="E36" s="204" t="s">
        <v>102</v>
      </c>
      <c r="F36" s="9" t="s">
        <v>78</v>
      </c>
      <c r="G36" s="9" t="s">
        <v>103</v>
      </c>
    </row>
    <row r="37" spans="1:7" ht="48" x14ac:dyDescent="0.25">
      <c r="A37" s="8">
        <v>7</v>
      </c>
      <c r="B37" s="9" t="s">
        <v>104</v>
      </c>
      <c r="C37" s="9" t="s">
        <v>105</v>
      </c>
      <c r="D37" s="9" t="s">
        <v>106</v>
      </c>
      <c r="E37" s="204" t="s">
        <v>107</v>
      </c>
      <c r="F37" s="9" t="s">
        <v>78</v>
      </c>
      <c r="G37" s="9" t="s">
        <v>108</v>
      </c>
    </row>
    <row r="38" spans="1:7" ht="72" x14ac:dyDescent="0.25">
      <c r="A38" s="8">
        <v>8</v>
      </c>
      <c r="B38" s="9" t="s">
        <v>64</v>
      </c>
      <c r="C38" s="9" t="s">
        <v>65</v>
      </c>
      <c r="D38" s="9" t="s">
        <v>66</v>
      </c>
      <c r="E38" s="204" t="s">
        <v>109</v>
      </c>
      <c r="F38" s="9" t="s">
        <v>78</v>
      </c>
      <c r="G38" s="9" t="s">
        <v>110</v>
      </c>
    </row>
    <row r="39" spans="1:7" ht="60" x14ac:dyDescent="0.25">
      <c r="A39" s="8">
        <v>9</v>
      </c>
      <c r="B39" s="9" t="s">
        <v>54</v>
      </c>
      <c r="C39" s="9" t="s">
        <v>111</v>
      </c>
      <c r="D39" s="9" t="s">
        <v>101</v>
      </c>
      <c r="E39" s="204" t="s">
        <v>112</v>
      </c>
      <c r="F39" s="9" t="s">
        <v>78</v>
      </c>
      <c r="G39" s="9" t="s">
        <v>113</v>
      </c>
    </row>
    <row r="40" spans="1:7" ht="108" x14ac:dyDescent="0.25">
      <c r="A40" s="8">
        <v>10</v>
      </c>
      <c r="B40" s="9" t="s">
        <v>114</v>
      </c>
      <c r="C40" s="9" t="s">
        <v>115</v>
      </c>
      <c r="D40" s="9" t="s">
        <v>116</v>
      </c>
      <c r="E40" s="204" t="s">
        <v>117</v>
      </c>
      <c r="F40" s="9" t="s">
        <v>78</v>
      </c>
      <c r="G40" s="9" t="s">
        <v>118</v>
      </c>
    </row>
    <row r="42" spans="1:7" ht="18" customHeight="1" x14ac:dyDescent="0.25">
      <c r="A42" s="213" t="s">
        <v>314</v>
      </c>
      <c r="B42" s="213"/>
      <c r="C42" s="213"/>
      <c r="D42" s="213"/>
      <c r="E42" s="213"/>
      <c r="F42" s="213"/>
      <c r="G42" s="213"/>
    </row>
    <row r="43" spans="1:7" ht="21.75" customHeight="1" x14ac:dyDescent="0.25">
      <c r="A43" s="7" t="s">
        <v>29</v>
      </c>
      <c r="B43" s="7" t="s">
        <v>305</v>
      </c>
      <c r="C43" s="7" t="s">
        <v>32</v>
      </c>
      <c r="D43" s="7" t="s">
        <v>33</v>
      </c>
      <c r="E43" s="203" t="s">
        <v>72</v>
      </c>
      <c r="F43" s="7" t="s">
        <v>73</v>
      </c>
      <c r="G43" s="7" t="s">
        <v>74</v>
      </c>
    </row>
    <row r="44" spans="1:7" ht="48" x14ac:dyDescent="0.25">
      <c r="A44" s="8">
        <v>1</v>
      </c>
      <c r="B44" s="9" t="s">
        <v>145</v>
      </c>
      <c r="C44" s="9" t="s">
        <v>146</v>
      </c>
      <c r="D44" s="9" t="s">
        <v>147</v>
      </c>
      <c r="E44" s="204">
        <v>46189</v>
      </c>
      <c r="F44" s="9" t="s">
        <v>78</v>
      </c>
      <c r="G44" s="9" t="s">
        <v>148</v>
      </c>
    </row>
    <row r="45" spans="1:7" ht="48" x14ac:dyDescent="0.25">
      <c r="A45" s="8">
        <v>2</v>
      </c>
      <c r="B45" s="9" t="s">
        <v>150</v>
      </c>
      <c r="C45" s="9" t="s">
        <v>151</v>
      </c>
      <c r="D45" s="9" t="s">
        <v>147</v>
      </c>
      <c r="E45" s="204" t="s">
        <v>2090</v>
      </c>
      <c r="F45" s="9" t="s">
        <v>78</v>
      </c>
      <c r="G45" s="9" t="s">
        <v>152</v>
      </c>
    </row>
    <row r="46" spans="1:7" ht="72" x14ac:dyDescent="0.25">
      <c r="A46" s="8">
        <v>3</v>
      </c>
      <c r="B46" s="9" t="s">
        <v>154</v>
      </c>
      <c r="C46" s="9" t="s">
        <v>155</v>
      </c>
      <c r="D46" s="9" t="s">
        <v>66</v>
      </c>
      <c r="E46" s="204" t="s">
        <v>156</v>
      </c>
      <c r="F46" s="9" t="s">
        <v>78</v>
      </c>
      <c r="G46" s="9" t="s">
        <v>157</v>
      </c>
    </row>
    <row r="47" spans="1:7" ht="48" x14ac:dyDescent="0.25">
      <c r="A47" s="8">
        <v>4</v>
      </c>
      <c r="B47" s="9" t="s">
        <v>158</v>
      </c>
      <c r="C47" s="9" t="s">
        <v>159</v>
      </c>
      <c r="D47" s="9" t="s">
        <v>147</v>
      </c>
      <c r="E47" s="204" t="s">
        <v>160</v>
      </c>
      <c r="F47" s="9" t="s">
        <v>78</v>
      </c>
      <c r="G47" s="9" t="s">
        <v>161</v>
      </c>
    </row>
    <row r="49" spans="1:7" ht="18" customHeight="1" x14ac:dyDescent="0.25">
      <c r="A49" s="214" t="s">
        <v>307</v>
      </c>
      <c r="B49" s="214"/>
      <c r="C49" s="214"/>
      <c r="D49" s="214"/>
      <c r="E49" s="214"/>
      <c r="F49" s="214"/>
      <c r="G49" s="214"/>
    </row>
    <row r="50" spans="1:7" ht="21.75" customHeight="1" x14ac:dyDescent="0.25">
      <c r="A50" s="7" t="s">
        <v>29</v>
      </c>
      <c r="B50" s="7" t="s">
        <v>305</v>
      </c>
      <c r="C50" s="7" t="s">
        <v>32</v>
      </c>
      <c r="D50" s="7" t="s">
        <v>33</v>
      </c>
      <c r="E50" s="203" t="s">
        <v>72</v>
      </c>
      <c r="F50" s="7" t="s">
        <v>73</v>
      </c>
      <c r="G50" s="7" t="s">
        <v>74</v>
      </c>
    </row>
    <row r="51" spans="1:7" ht="72" x14ac:dyDescent="0.25">
      <c r="A51" s="8">
        <v>1</v>
      </c>
      <c r="B51" s="9" t="s">
        <v>199</v>
      </c>
      <c r="C51" s="9" t="s">
        <v>200</v>
      </c>
      <c r="D51" s="9" t="s">
        <v>201</v>
      </c>
      <c r="E51" s="204" t="s">
        <v>202</v>
      </c>
      <c r="F51" s="9" t="s">
        <v>203</v>
      </c>
      <c r="G51" s="9" t="s">
        <v>2090</v>
      </c>
    </row>
    <row r="52" spans="1:7" ht="72" x14ac:dyDescent="0.25">
      <c r="A52" s="8">
        <v>2</v>
      </c>
      <c r="B52" s="9" t="s">
        <v>204</v>
      </c>
      <c r="C52" s="9" t="s">
        <v>205</v>
      </c>
      <c r="D52" s="9" t="s">
        <v>66</v>
      </c>
      <c r="E52" s="204" t="s">
        <v>206</v>
      </c>
      <c r="F52" s="9" t="s">
        <v>203</v>
      </c>
      <c r="G52" s="9" t="s">
        <v>2090</v>
      </c>
    </row>
    <row r="53" spans="1:7" ht="60" x14ac:dyDescent="0.25">
      <c r="A53" s="8">
        <v>3</v>
      </c>
      <c r="B53" s="9" t="s">
        <v>207</v>
      </c>
      <c r="C53" s="9" t="s">
        <v>208</v>
      </c>
      <c r="D53" s="9" t="s">
        <v>209</v>
      </c>
      <c r="E53" s="204" t="s">
        <v>210</v>
      </c>
      <c r="F53" s="9" t="s">
        <v>78</v>
      </c>
      <c r="G53" s="9" t="s">
        <v>2090</v>
      </c>
    </row>
    <row r="54" spans="1:7" ht="60" x14ac:dyDescent="0.25">
      <c r="A54" s="8">
        <v>4</v>
      </c>
      <c r="B54" s="9" t="s">
        <v>180</v>
      </c>
      <c r="C54" s="9" t="s">
        <v>208</v>
      </c>
      <c r="D54" s="9" t="s">
        <v>177</v>
      </c>
      <c r="E54" s="204" t="s">
        <v>211</v>
      </c>
      <c r="F54" s="9" t="s">
        <v>78</v>
      </c>
      <c r="G54" s="9"/>
    </row>
    <row r="55" spans="1:7" ht="60" x14ac:dyDescent="0.25">
      <c r="A55" s="8">
        <v>5</v>
      </c>
      <c r="B55" s="9" t="s">
        <v>207</v>
      </c>
      <c r="C55" s="9" t="s">
        <v>208</v>
      </c>
      <c r="D55" s="9" t="s">
        <v>212</v>
      </c>
      <c r="E55" s="204" t="s">
        <v>213</v>
      </c>
      <c r="F55" s="9" t="s">
        <v>78</v>
      </c>
      <c r="G55" s="9" t="s">
        <v>2090</v>
      </c>
    </row>
    <row r="56" spans="1:7" ht="36" x14ac:dyDescent="0.25">
      <c r="A56" s="8">
        <v>6</v>
      </c>
      <c r="B56" s="9" t="s">
        <v>214</v>
      </c>
      <c r="C56" s="9" t="s">
        <v>215</v>
      </c>
      <c r="D56" s="9" t="s">
        <v>186</v>
      </c>
      <c r="E56" s="204" t="s">
        <v>195</v>
      </c>
      <c r="F56" s="9" t="s">
        <v>78</v>
      </c>
      <c r="G56" s="9" t="s">
        <v>2090</v>
      </c>
    </row>
    <row r="57" spans="1:7" ht="36" x14ac:dyDescent="0.25">
      <c r="A57" s="8">
        <v>7</v>
      </c>
      <c r="B57" s="9" t="s">
        <v>197</v>
      </c>
      <c r="C57" s="9" t="s">
        <v>189</v>
      </c>
      <c r="D57" s="9" t="s">
        <v>186</v>
      </c>
      <c r="E57" s="204" t="s">
        <v>195</v>
      </c>
      <c r="F57" s="9" t="s">
        <v>78</v>
      </c>
      <c r="G57" s="9" t="s">
        <v>2090</v>
      </c>
    </row>
    <row r="58" spans="1:7" ht="36" x14ac:dyDescent="0.25">
      <c r="A58" s="8">
        <v>8</v>
      </c>
      <c r="B58" s="9" t="s">
        <v>193</v>
      </c>
      <c r="C58" s="9" t="s">
        <v>194</v>
      </c>
      <c r="D58" s="9" t="s">
        <v>186</v>
      </c>
      <c r="E58" s="204" t="s">
        <v>195</v>
      </c>
      <c r="F58" s="9" t="s">
        <v>78</v>
      </c>
      <c r="G58" s="9" t="s">
        <v>2090</v>
      </c>
    </row>
    <row r="59" spans="1:7" ht="48" x14ac:dyDescent="0.25">
      <c r="A59" s="8">
        <v>9</v>
      </c>
      <c r="B59" s="9" t="s">
        <v>217</v>
      </c>
      <c r="C59" s="9" t="s">
        <v>218</v>
      </c>
      <c r="D59" s="9" t="s">
        <v>186</v>
      </c>
      <c r="E59" s="204" t="s">
        <v>219</v>
      </c>
      <c r="F59" s="9" t="s">
        <v>78</v>
      </c>
      <c r="G59" s="9" t="s">
        <v>2090</v>
      </c>
    </row>
    <row r="60" spans="1:7" ht="48" x14ac:dyDescent="0.25">
      <c r="A60" s="8">
        <v>10</v>
      </c>
      <c r="B60" s="9" t="s">
        <v>184</v>
      </c>
      <c r="C60" s="9" t="s">
        <v>185</v>
      </c>
      <c r="D60" s="9" t="s">
        <v>186</v>
      </c>
      <c r="E60" s="204" t="s">
        <v>219</v>
      </c>
      <c r="F60" s="9" t="s">
        <v>78</v>
      </c>
      <c r="G60" s="9" t="s">
        <v>2090</v>
      </c>
    </row>
    <row r="62" spans="1:7" ht="18" customHeight="1" x14ac:dyDescent="0.25">
      <c r="A62" s="214" t="s">
        <v>308</v>
      </c>
      <c r="B62" s="214"/>
      <c r="C62" s="214"/>
      <c r="D62" s="214"/>
      <c r="E62" s="214"/>
      <c r="F62" s="214"/>
      <c r="G62" s="214"/>
    </row>
    <row r="63" spans="1:7" ht="21.75" customHeight="1" x14ac:dyDescent="0.25">
      <c r="A63" s="7" t="s">
        <v>29</v>
      </c>
      <c r="B63" s="7" t="s">
        <v>305</v>
      </c>
      <c r="C63" s="7" t="s">
        <v>32</v>
      </c>
      <c r="D63" s="7" t="s">
        <v>33</v>
      </c>
      <c r="E63" s="203" t="s">
        <v>72</v>
      </c>
      <c r="F63" s="7" t="s">
        <v>73</v>
      </c>
      <c r="G63" s="7" t="s">
        <v>74</v>
      </c>
    </row>
    <row r="64" spans="1:7" ht="96" x14ac:dyDescent="0.25">
      <c r="A64" s="8">
        <v>2</v>
      </c>
      <c r="B64" s="9" t="s">
        <v>233</v>
      </c>
      <c r="C64" s="9" t="s">
        <v>234</v>
      </c>
      <c r="D64" s="9" t="s">
        <v>235</v>
      </c>
      <c r="E64" s="204" t="s">
        <v>236</v>
      </c>
      <c r="F64" s="9" t="s">
        <v>78</v>
      </c>
      <c r="G64" s="9" t="s">
        <v>2090</v>
      </c>
    </row>
    <row r="65" spans="1:7" ht="108" x14ac:dyDescent="0.25">
      <c r="A65" s="8">
        <v>3</v>
      </c>
      <c r="B65" s="9" t="s">
        <v>238</v>
      </c>
      <c r="C65" s="9" t="s">
        <v>239</v>
      </c>
      <c r="D65" s="9" t="s">
        <v>240</v>
      </c>
      <c r="E65" s="204" t="s">
        <v>241</v>
      </c>
      <c r="F65" s="9" t="s">
        <v>78</v>
      </c>
      <c r="G65" s="9" t="s">
        <v>242</v>
      </c>
    </row>
    <row r="66" spans="1:7" ht="108" x14ac:dyDescent="0.25">
      <c r="A66" s="8">
        <v>4</v>
      </c>
      <c r="B66" s="9" t="s">
        <v>238</v>
      </c>
      <c r="C66" s="9" t="s">
        <v>243</v>
      </c>
      <c r="D66" s="9" t="s">
        <v>244</v>
      </c>
      <c r="E66" s="204" t="s">
        <v>245</v>
      </c>
      <c r="F66" s="9" t="s">
        <v>78</v>
      </c>
      <c r="G66" s="9" t="s">
        <v>2090</v>
      </c>
    </row>
    <row r="68" spans="1:7" ht="18" customHeight="1" x14ac:dyDescent="0.25">
      <c r="A68" s="214" t="s">
        <v>309</v>
      </c>
      <c r="B68" s="214"/>
      <c r="C68" s="214"/>
      <c r="D68" s="214"/>
      <c r="E68" s="214"/>
      <c r="F68" s="214"/>
      <c r="G68" s="214"/>
    </row>
    <row r="69" spans="1:7" ht="21.75" customHeight="1" x14ac:dyDescent="0.25">
      <c r="A69" s="7" t="s">
        <v>29</v>
      </c>
      <c r="B69" s="7" t="s">
        <v>305</v>
      </c>
      <c r="C69" s="7" t="s">
        <v>32</v>
      </c>
      <c r="D69" s="7" t="s">
        <v>33</v>
      </c>
      <c r="E69" s="203" t="s">
        <v>72</v>
      </c>
      <c r="F69" s="7" t="s">
        <v>73</v>
      </c>
      <c r="G69" s="7" t="s">
        <v>74</v>
      </c>
    </row>
    <row r="70" spans="1:7" ht="60" x14ac:dyDescent="0.25">
      <c r="A70" s="8">
        <v>4</v>
      </c>
      <c r="B70" s="9" t="s">
        <v>250</v>
      </c>
      <c r="C70" s="9" t="s">
        <v>251</v>
      </c>
      <c r="D70" s="9" t="s">
        <v>2090</v>
      </c>
      <c r="E70" s="204" t="s">
        <v>266</v>
      </c>
      <c r="F70" s="9" t="s">
        <v>78</v>
      </c>
      <c r="G70" s="9" t="s">
        <v>2090</v>
      </c>
    </row>
    <row r="71" spans="1:7" ht="48" x14ac:dyDescent="0.25">
      <c r="A71" s="8">
        <v>5</v>
      </c>
      <c r="B71" s="9" t="s">
        <v>253</v>
      </c>
      <c r="C71" s="9" t="s">
        <v>254</v>
      </c>
      <c r="D71" s="9" t="s">
        <v>2090</v>
      </c>
      <c r="E71" s="204" t="s">
        <v>266</v>
      </c>
      <c r="F71" s="9" t="s">
        <v>78</v>
      </c>
      <c r="G71" s="9" t="s">
        <v>255</v>
      </c>
    </row>
    <row r="72" spans="1:7" ht="168" x14ac:dyDescent="0.25">
      <c r="A72" s="8">
        <v>6</v>
      </c>
      <c r="B72" s="9" t="s">
        <v>257</v>
      </c>
      <c r="C72" s="9" t="s">
        <v>258</v>
      </c>
      <c r="D72" s="9" t="s">
        <v>259</v>
      </c>
      <c r="E72" s="204" t="s">
        <v>260</v>
      </c>
      <c r="F72" s="9" t="s">
        <v>78</v>
      </c>
      <c r="G72" s="9" t="s">
        <v>2090</v>
      </c>
    </row>
    <row r="73" spans="1:7" ht="204" x14ac:dyDescent="0.25">
      <c r="A73" s="8">
        <v>7</v>
      </c>
      <c r="B73" s="9" t="s">
        <v>261</v>
      </c>
      <c r="C73" s="9" t="s">
        <v>262</v>
      </c>
      <c r="D73" s="9" t="s">
        <v>2090</v>
      </c>
      <c r="E73" s="204" t="s">
        <v>263</v>
      </c>
      <c r="F73" s="9" t="s">
        <v>78</v>
      </c>
      <c r="G73" s="9" t="s">
        <v>2090</v>
      </c>
    </row>
    <row r="74" spans="1:7" ht="168" x14ac:dyDescent="0.25">
      <c r="A74" s="8">
        <v>8</v>
      </c>
      <c r="B74" s="9" t="s">
        <v>265</v>
      </c>
      <c r="C74" s="9" t="s">
        <v>2089</v>
      </c>
      <c r="D74" s="9" t="s">
        <v>2090</v>
      </c>
      <c r="E74" s="204" t="s">
        <v>266</v>
      </c>
      <c r="F74" s="9" t="s">
        <v>78</v>
      </c>
      <c r="G74" s="9" t="s">
        <v>2090</v>
      </c>
    </row>
    <row r="76" spans="1:7" ht="18" customHeight="1" x14ac:dyDescent="0.25">
      <c r="A76" s="214" t="s">
        <v>310</v>
      </c>
      <c r="B76" s="214"/>
      <c r="C76" s="214"/>
      <c r="D76" s="214"/>
      <c r="E76" s="214"/>
      <c r="F76" s="214"/>
      <c r="G76" s="214"/>
    </row>
    <row r="77" spans="1:7" ht="21.75" customHeight="1" x14ac:dyDescent="0.25">
      <c r="A77" s="7" t="s">
        <v>29</v>
      </c>
      <c r="B77" s="7" t="s">
        <v>305</v>
      </c>
      <c r="C77" s="7" t="s">
        <v>32</v>
      </c>
      <c r="D77" s="7" t="s">
        <v>33</v>
      </c>
      <c r="E77" s="203" t="s">
        <v>72</v>
      </c>
      <c r="F77" s="7" t="s">
        <v>73</v>
      </c>
      <c r="G77" s="7" t="s">
        <v>74</v>
      </c>
    </row>
    <row r="78" spans="1:7" ht="30" customHeight="1" x14ac:dyDescent="0.25">
      <c r="A78" s="8">
        <v>2</v>
      </c>
      <c r="B78" s="9" t="s">
        <v>293</v>
      </c>
      <c r="C78" s="9" t="s">
        <v>294</v>
      </c>
      <c r="D78" s="9" t="s">
        <v>291</v>
      </c>
      <c r="E78" s="204">
        <v>46174</v>
      </c>
      <c r="F78" s="9" t="s">
        <v>78</v>
      </c>
      <c r="G78" s="9" t="s">
        <v>295</v>
      </c>
    </row>
    <row r="79" spans="1:7" ht="44.25" customHeight="1" x14ac:dyDescent="0.25">
      <c r="A79" s="8">
        <v>3</v>
      </c>
      <c r="B79" s="9" t="s">
        <v>296</v>
      </c>
      <c r="C79" s="9" t="s">
        <v>297</v>
      </c>
      <c r="D79" s="9" t="s">
        <v>291</v>
      </c>
      <c r="E79" s="204">
        <v>46174</v>
      </c>
      <c r="F79" s="9" t="s">
        <v>78</v>
      </c>
      <c r="G79" s="9" t="s">
        <v>2090</v>
      </c>
    </row>
    <row r="81" spans="1:7" ht="24" customHeight="1" x14ac:dyDescent="0.25">
      <c r="A81" s="212" t="s">
        <v>316</v>
      </c>
      <c r="B81" s="212"/>
      <c r="C81" s="212"/>
      <c r="D81" s="212"/>
      <c r="E81" s="212"/>
      <c r="F81" s="212"/>
      <c r="G81" s="212"/>
    </row>
    <row r="83" spans="1:7" ht="18" customHeight="1" x14ac:dyDescent="0.25">
      <c r="A83" s="211" t="s">
        <v>306</v>
      </c>
      <c r="B83" s="211"/>
      <c r="C83" s="211"/>
      <c r="D83" s="211"/>
      <c r="E83" s="211"/>
      <c r="F83" s="211"/>
      <c r="G83" s="211"/>
    </row>
    <row r="84" spans="1:7" ht="21.75" customHeight="1" x14ac:dyDescent="0.25">
      <c r="A84" s="7" t="s">
        <v>29</v>
      </c>
      <c r="B84" s="7" t="s">
        <v>123</v>
      </c>
      <c r="C84" s="7" t="s">
        <v>124</v>
      </c>
      <c r="D84" s="7" t="s">
        <v>125</v>
      </c>
      <c r="E84" s="203" t="s">
        <v>126</v>
      </c>
      <c r="F84" s="207"/>
      <c r="G84" s="207"/>
    </row>
    <row r="85" spans="1:7" ht="84" x14ac:dyDescent="0.25">
      <c r="A85" s="8">
        <v>1</v>
      </c>
      <c r="B85" s="9" t="s">
        <v>2090</v>
      </c>
      <c r="C85" s="9" t="s">
        <v>163</v>
      </c>
      <c r="D85" s="9" t="s">
        <v>164</v>
      </c>
      <c r="E85" s="204" t="s">
        <v>165</v>
      </c>
      <c r="F85" s="209"/>
      <c r="G85" s="209"/>
    </row>
    <row r="87" spans="1:7" ht="18" customHeight="1" x14ac:dyDescent="0.25">
      <c r="A87" s="210" t="s">
        <v>307</v>
      </c>
      <c r="B87" s="210"/>
      <c r="C87" s="210"/>
      <c r="D87" s="210"/>
      <c r="E87" s="210"/>
      <c r="F87" s="210"/>
      <c r="G87" s="210"/>
    </row>
    <row r="88" spans="1:7" ht="21.75" customHeight="1" x14ac:dyDescent="0.25">
      <c r="A88" s="7" t="s">
        <v>29</v>
      </c>
      <c r="B88" s="7" t="s">
        <v>123</v>
      </c>
      <c r="C88" s="7" t="s">
        <v>124</v>
      </c>
      <c r="D88" s="7" t="s">
        <v>125</v>
      </c>
      <c r="E88" s="203" t="s">
        <v>126</v>
      </c>
      <c r="F88" s="207"/>
      <c r="G88" s="207"/>
    </row>
    <row r="89" spans="1:7" ht="132" x14ac:dyDescent="0.25">
      <c r="A89" s="8">
        <v>1</v>
      </c>
      <c r="B89" s="9" t="s">
        <v>221</v>
      </c>
      <c r="C89" s="9" t="s">
        <v>222</v>
      </c>
      <c r="D89" s="9" t="s">
        <v>164</v>
      </c>
      <c r="E89" s="204" t="s">
        <v>223</v>
      </c>
      <c r="F89" s="208"/>
      <c r="G89" s="208"/>
    </row>
    <row r="90" spans="1:7" ht="156" x14ac:dyDescent="0.25">
      <c r="A90" s="8">
        <v>2</v>
      </c>
      <c r="B90" s="9" t="s">
        <v>224</v>
      </c>
      <c r="C90" s="9" t="s">
        <v>225</v>
      </c>
      <c r="D90" s="9" t="s">
        <v>164</v>
      </c>
      <c r="E90" s="204" t="s">
        <v>226</v>
      </c>
      <c r="F90" s="208"/>
      <c r="G90" s="208"/>
    </row>
  </sheetData>
  <mergeCells count="39">
    <mergeCell ref="F6:G6"/>
    <mergeCell ref="A1:G1"/>
    <mergeCell ref="A2:D2"/>
    <mergeCell ref="E2:G2"/>
    <mergeCell ref="A4:G4"/>
    <mergeCell ref="A5:G5"/>
    <mergeCell ref="F12:G12"/>
    <mergeCell ref="F7:G7"/>
    <mergeCell ref="F8:G8"/>
    <mergeCell ref="F9:G9"/>
    <mergeCell ref="F10:G10"/>
    <mergeCell ref="F11:G11"/>
    <mergeCell ref="F20:G20"/>
    <mergeCell ref="F21:G21"/>
    <mergeCell ref="F22:G22"/>
    <mergeCell ref="A14:G14"/>
    <mergeCell ref="F15:G15"/>
    <mergeCell ref="F16:G16"/>
    <mergeCell ref="F17:G17"/>
    <mergeCell ref="F18:G18"/>
    <mergeCell ref="F19:G19"/>
    <mergeCell ref="A28:G28"/>
    <mergeCell ref="A24:G24"/>
    <mergeCell ref="F25:G25"/>
    <mergeCell ref="F26:G26"/>
    <mergeCell ref="A83:G83"/>
    <mergeCell ref="F84:G84"/>
    <mergeCell ref="A81:G81"/>
    <mergeCell ref="A29:G29"/>
    <mergeCell ref="A42:G42"/>
    <mergeCell ref="A49:G49"/>
    <mergeCell ref="A62:G62"/>
    <mergeCell ref="A68:G68"/>
    <mergeCell ref="A76:G76"/>
    <mergeCell ref="F88:G88"/>
    <mergeCell ref="F89:G89"/>
    <mergeCell ref="F90:G90"/>
    <mergeCell ref="F85:G85"/>
    <mergeCell ref="A87:G87"/>
  </mergeCells>
  <pageMargins left="0.75" right="0.75" top="1" bottom="1" header="0.511811023622047" footer="0.511811023622047"/>
  <pageSetup orientation="landscape"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10A8-6D9B-4396-9211-0C0B008C93DA}">
  <dimension ref="A1:GZ274"/>
  <sheetViews>
    <sheetView topLeftCell="J1" zoomScale="86" zoomScaleNormal="80" workbookViewId="0">
      <pane ySplit="2" topLeftCell="A3" activePane="bottomLeft" state="frozen"/>
      <selection pane="bottomLeft" activeCell="Z4" sqref="Z4"/>
    </sheetView>
  </sheetViews>
  <sheetFormatPr baseColWidth="10" defaultColWidth="11.42578125" defaultRowHeight="15" x14ac:dyDescent="0.25"/>
  <cols>
    <col min="1" max="1" width="22.5703125" style="23" customWidth="1"/>
    <col min="2" max="2" width="26.140625" style="20" customWidth="1"/>
    <col min="3" max="3" width="36" style="20" customWidth="1"/>
    <col min="4" max="4" width="10.42578125" style="21" hidden="1" customWidth="1"/>
    <col min="5" max="5" width="27.42578125" style="20" customWidth="1"/>
    <col min="6" max="6" width="9.42578125" style="21" customWidth="1"/>
    <col min="7" max="8" width="12" style="22" customWidth="1"/>
    <col min="9" max="9" width="13" style="21" customWidth="1"/>
    <col min="10" max="10" width="14.42578125" style="21" customWidth="1"/>
    <col min="11" max="11" width="32.42578125" style="20" hidden="1" customWidth="1"/>
    <col min="12" max="12" width="36.42578125" style="20" hidden="1" customWidth="1"/>
    <col min="13" max="13" width="27.140625" style="20" hidden="1" customWidth="1"/>
    <col min="14" max="14" width="28.140625" style="20" hidden="1" customWidth="1"/>
    <col min="15" max="15" width="26.5703125" style="19" hidden="1" customWidth="1"/>
    <col min="16" max="16" width="21.5703125" style="19" hidden="1" customWidth="1"/>
    <col min="17" max="18" width="20" style="19" hidden="1" customWidth="1"/>
    <col min="19" max="19" width="34.42578125" style="19" customWidth="1"/>
    <col min="20" max="20" width="17" style="18" hidden="1" customWidth="1"/>
    <col min="21" max="21" width="18.5703125" style="18" hidden="1" customWidth="1"/>
    <col min="22" max="22" width="17.42578125" style="18" customWidth="1"/>
    <col min="23" max="23" width="15.85546875" style="18" bestFit="1" customWidth="1"/>
    <col min="24" max="24" width="16.42578125" style="18" bestFit="1" customWidth="1"/>
    <col min="25" max="25" width="16.42578125" style="18" customWidth="1"/>
    <col min="26" max="26" width="26.42578125" style="17" bestFit="1" customWidth="1"/>
    <col min="27" max="27" width="12.140625" style="16" hidden="1" customWidth="1"/>
    <col min="28" max="28" width="10.5703125" style="16" hidden="1" customWidth="1"/>
    <col min="29" max="29" width="15" style="16" hidden="1" customWidth="1"/>
    <col min="30" max="31" width="13.85546875" style="16" hidden="1" customWidth="1"/>
    <col min="32" max="32" width="15.85546875" style="16" hidden="1" customWidth="1"/>
    <col min="33" max="33" width="12.42578125" style="16" hidden="1" customWidth="1"/>
    <col min="34" max="35" width="14.5703125" style="16" hidden="1" customWidth="1"/>
    <col min="36" max="36" width="12.85546875" style="16" hidden="1" customWidth="1"/>
    <col min="37" max="38" width="13" style="16" hidden="1" customWidth="1"/>
    <col min="39" max="41" width="12.42578125" style="16" hidden="1" customWidth="1"/>
    <col min="42" max="44" width="13.5703125" style="16" hidden="1" customWidth="1"/>
    <col min="45" max="47" width="11" style="16" hidden="1" customWidth="1"/>
    <col min="48" max="48" width="13.42578125" style="16" hidden="1" customWidth="1"/>
    <col min="49" max="50" width="11" style="16" hidden="1" customWidth="1"/>
    <col min="51" max="51" width="11.85546875" style="16" hidden="1" customWidth="1"/>
    <col min="52" max="53" width="11" style="16" hidden="1" customWidth="1"/>
    <col min="54" max="54" width="12.42578125" style="16" hidden="1" customWidth="1"/>
    <col min="55" max="55" width="12.140625" style="16" hidden="1" customWidth="1"/>
    <col min="56" max="58" width="11" style="16" hidden="1" customWidth="1"/>
    <col min="59" max="59" width="12.140625" style="16" hidden="1" customWidth="1"/>
    <col min="60" max="62" width="11" style="16" hidden="1" customWidth="1"/>
    <col min="63" max="63" width="12.140625" style="16" hidden="1" customWidth="1"/>
    <col min="64" max="64" width="13.42578125" style="16" hidden="1" customWidth="1"/>
    <col min="65" max="66" width="11" style="16" hidden="1" customWidth="1"/>
    <col min="67" max="67" width="12.140625" style="16" hidden="1" customWidth="1"/>
    <col min="68" max="71" width="11" style="16" hidden="1" customWidth="1"/>
    <col min="72" max="16384" width="11.42578125" style="16"/>
  </cols>
  <sheetData>
    <row r="1" spans="1:71" s="169" customFormat="1" ht="48" x14ac:dyDescent="0.25">
      <c r="A1" s="170" t="s">
        <v>317</v>
      </c>
      <c r="B1" s="170" t="s">
        <v>318</v>
      </c>
      <c r="C1" s="173" t="s">
        <v>319</v>
      </c>
      <c r="D1" s="173" t="s">
        <v>320</v>
      </c>
      <c r="E1" s="170" t="s">
        <v>321</v>
      </c>
      <c r="F1" s="170" t="s">
        <v>322</v>
      </c>
      <c r="G1" s="170" t="s">
        <v>323</v>
      </c>
      <c r="H1" s="170" t="s">
        <v>324</v>
      </c>
      <c r="I1" s="170" t="s">
        <v>325</v>
      </c>
      <c r="J1" s="170" t="s">
        <v>326</v>
      </c>
      <c r="K1" s="170" t="s">
        <v>327</v>
      </c>
      <c r="L1" s="170" t="s">
        <v>328</v>
      </c>
      <c r="M1" s="170" t="s">
        <v>329</v>
      </c>
      <c r="N1" s="170" t="s">
        <v>330</v>
      </c>
      <c r="O1" s="170" t="s">
        <v>331</v>
      </c>
      <c r="P1" s="170" t="s">
        <v>332</v>
      </c>
      <c r="Q1" s="170" t="s">
        <v>333</v>
      </c>
      <c r="R1" s="170" t="s">
        <v>334</v>
      </c>
      <c r="S1" s="170" t="s">
        <v>335</v>
      </c>
      <c r="T1" s="172" t="s">
        <v>336</v>
      </c>
      <c r="U1" s="172" t="s">
        <v>337</v>
      </c>
      <c r="V1" s="172" t="s">
        <v>338</v>
      </c>
      <c r="W1" s="172" t="s">
        <v>339</v>
      </c>
      <c r="X1" s="172" t="s">
        <v>340</v>
      </c>
      <c r="Y1" s="172" t="s">
        <v>341</v>
      </c>
      <c r="Z1" s="170" t="s">
        <v>342</v>
      </c>
      <c r="AA1" s="171">
        <v>45931</v>
      </c>
      <c r="AB1" s="171">
        <v>45931</v>
      </c>
      <c r="AC1" s="171">
        <v>45931</v>
      </c>
      <c r="AD1" s="171">
        <v>45962</v>
      </c>
      <c r="AE1" s="171">
        <v>45962</v>
      </c>
      <c r="AF1" s="171">
        <v>45962</v>
      </c>
      <c r="AG1" s="171">
        <v>45992</v>
      </c>
      <c r="AH1" s="171">
        <v>45992</v>
      </c>
      <c r="AI1" s="171">
        <v>45992</v>
      </c>
      <c r="AJ1" s="171">
        <v>46023</v>
      </c>
      <c r="AK1" s="171">
        <v>46023</v>
      </c>
      <c r="AL1" s="171">
        <v>46023</v>
      </c>
      <c r="AM1" s="171">
        <v>46054</v>
      </c>
      <c r="AN1" s="171">
        <v>46054</v>
      </c>
      <c r="AO1" s="171">
        <v>46054</v>
      </c>
      <c r="AP1" s="171">
        <v>46082</v>
      </c>
      <c r="AQ1" s="171">
        <v>46082</v>
      </c>
      <c r="AR1" s="171">
        <v>46082</v>
      </c>
      <c r="AS1" s="170" t="s">
        <v>343</v>
      </c>
      <c r="AT1" s="170" t="s">
        <v>343</v>
      </c>
      <c r="AU1" s="171">
        <v>46113</v>
      </c>
      <c r="AV1" s="171">
        <v>46143</v>
      </c>
      <c r="AW1" s="171">
        <v>46143</v>
      </c>
      <c r="AX1" s="171">
        <v>46143</v>
      </c>
      <c r="AY1" s="171">
        <v>46143</v>
      </c>
      <c r="AZ1" s="171">
        <v>46174</v>
      </c>
      <c r="BA1" s="171">
        <v>46174</v>
      </c>
      <c r="BB1" s="171">
        <v>46174</v>
      </c>
      <c r="BC1" s="171">
        <v>46174</v>
      </c>
      <c r="BD1" s="171">
        <v>46204</v>
      </c>
      <c r="BE1" s="171">
        <v>46204</v>
      </c>
      <c r="BF1" s="171">
        <v>46204</v>
      </c>
      <c r="BG1" s="171">
        <v>46204</v>
      </c>
      <c r="BH1" s="171">
        <v>46235</v>
      </c>
      <c r="BI1" s="171">
        <v>46235</v>
      </c>
      <c r="BJ1" s="171">
        <v>46235</v>
      </c>
      <c r="BK1" s="171">
        <v>46235</v>
      </c>
      <c r="BL1" s="171">
        <v>46266</v>
      </c>
      <c r="BM1" s="171">
        <v>46266</v>
      </c>
      <c r="BN1" s="171">
        <v>46266</v>
      </c>
      <c r="BO1" s="171">
        <v>46266</v>
      </c>
      <c r="BP1" s="170" t="s">
        <v>344</v>
      </c>
      <c r="BQ1" s="170" t="s">
        <v>345</v>
      </c>
      <c r="BR1" s="170" t="s">
        <v>346</v>
      </c>
      <c r="BS1" s="170" t="s">
        <v>347</v>
      </c>
    </row>
    <row r="2" spans="1:71" s="84" customFormat="1" ht="14.85" customHeight="1" x14ac:dyDescent="0.25">
      <c r="A2" s="92" t="s">
        <v>348</v>
      </c>
      <c r="B2" s="90"/>
      <c r="C2" s="90"/>
      <c r="D2" s="89"/>
      <c r="E2" s="90"/>
      <c r="F2" s="89"/>
      <c r="G2" s="89"/>
      <c r="H2" s="89"/>
      <c r="I2" s="89"/>
      <c r="J2" s="89"/>
      <c r="K2" s="90"/>
      <c r="L2" s="90"/>
      <c r="M2" s="90"/>
      <c r="N2" s="90"/>
      <c r="O2" s="89"/>
      <c r="P2" s="89"/>
      <c r="Q2" s="89"/>
      <c r="R2" s="89"/>
      <c r="S2" s="89"/>
      <c r="T2" s="168">
        <f t="shared" ref="T2:Z2" si="0">SUM(T3:T141)</f>
        <v>414576993</v>
      </c>
      <c r="U2" s="168">
        <f t="shared" si="0"/>
        <v>353515415</v>
      </c>
      <c r="V2" s="168">
        <f t="shared" si="0"/>
        <v>768092408</v>
      </c>
      <c r="W2" s="168">
        <f t="shared" si="0"/>
        <v>446605712.52000004</v>
      </c>
      <c r="X2" s="168">
        <f t="shared" si="0"/>
        <v>653163428.24000001</v>
      </c>
      <c r="Y2" s="168">
        <f t="shared" si="0"/>
        <v>446977178</v>
      </c>
      <c r="Z2" s="168">
        <f t="shared" si="0"/>
        <v>3082931134.7599998</v>
      </c>
      <c r="AA2" s="167" t="s">
        <v>336</v>
      </c>
      <c r="AB2" s="167" t="s">
        <v>339</v>
      </c>
      <c r="AC2" s="167" t="s">
        <v>340</v>
      </c>
      <c r="AD2" s="167" t="s">
        <v>336</v>
      </c>
      <c r="AE2" s="167" t="s">
        <v>339</v>
      </c>
      <c r="AF2" s="167" t="s">
        <v>340</v>
      </c>
      <c r="AG2" s="167" t="s">
        <v>336</v>
      </c>
      <c r="AH2" s="167" t="s">
        <v>339</v>
      </c>
      <c r="AI2" s="167" t="s">
        <v>340</v>
      </c>
      <c r="AJ2" s="167" t="s">
        <v>336</v>
      </c>
      <c r="AK2" s="167" t="s">
        <v>339</v>
      </c>
      <c r="AL2" s="167" t="s">
        <v>340</v>
      </c>
      <c r="AM2" s="167" t="s">
        <v>336</v>
      </c>
      <c r="AN2" s="167" t="s">
        <v>339</v>
      </c>
      <c r="AO2" s="167" t="s">
        <v>340</v>
      </c>
      <c r="AP2" s="167" t="s">
        <v>336</v>
      </c>
      <c r="AQ2" s="167" t="s">
        <v>339</v>
      </c>
      <c r="AR2" s="167" t="s">
        <v>340</v>
      </c>
      <c r="AS2" s="167" t="s">
        <v>337</v>
      </c>
      <c r="AT2" s="167" t="s">
        <v>339</v>
      </c>
      <c r="AU2" s="167" t="s">
        <v>340</v>
      </c>
      <c r="AV2" s="167" t="s">
        <v>337</v>
      </c>
      <c r="AW2" s="167" t="s">
        <v>339</v>
      </c>
      <c r="AX2" s="167" t="s">
        <v>340</v>
      </c>
      <c r="AY2" s="167" t="s">
        <v>349</v>
      </c>
      <c r="AZ2" s="167" t="s">
        <v>337</v>
      </c>
      <c r="BA2" s="167" t="s">
        <v>339</v>
      </c>
      <c r="BB2" s="167" t="s">
        <v>340</v>
      </c>
      <c r="BC2" s="167" t="s">
        <v>350</v>
      </c>
      <c r="BD2" s="167" t="s">
        <v>337</v>
      </c>
      <c r="BE2" s="167" t="s">
        <v>339</v>
      </c>
      <c r="BF2" s="167" t="s">
        <v>340</v>
      </c>
      <c r="BG2" s="167" t="s">
        <v>350</v>
      </c>
      <c r="BH2" s="167" t="s">
        <v>337</v>
      </c>
      <c r="BI2" s="167" t="s">
        <v>339</v>
      </c>
      <c r="BJ2" s="167" t="s">
        <v>340</v>
      </c>
      <c r="BK2" s="167" t="s">
        <v>350</v>
      </c>
      <c r="BL2" s="167" t="s">
        <v>337</v>
      </c>
      <c r="BM2" s="167" t="s">
        <v>339</v>
      </c>
      <c r="BN2" s="167" t="s">
        <v>340</v>
      </c>
      <c r="BO2" s="167" t="s">
        <v>350</v>
      </c>
      <c r="BP2" s="167" t="s">
        <v>336</v>
      </c>
      <c r="BQ2" s="167" t="s">
        <v>337</v>
      </c>
      <c r="BR2" s="167" t="s">
        <v>339</v>
      </c>
      <c r="BS2" s="167" t="s">
        <v>340</v>
      </c>
    </row>
    <row r="3" spans="1:71" s="50" customFormat="1" ht="106.35" customHeight="1" x14ac:dyDescent="0.25">
      <c r="A3" s="36" t="s">
        <v>351</v>
      </c>
      <c r="B3" s="42" t="s">
        <v>352</v>
      </c>
      <c r="C3" s="32" t="s">
        <v>353</v>
      </c>
      <c r="D3" s="30" t="str">
        <f t="shared" ref="D3:D34" si="1">TRIM(_xlfn.TEXTBEFORE(E3,":"))</f>
        <v>1.1-1.1</v>
      </c>
      <c r="E3" s="32" t="s">
        <v>354</v>
      </c>
      <c r="F3" s="30" t="s">
        <v>167</v>
      </c>
      <c r="G3" s="49" t="s">
        <v>355</v>
      </c>
      <c r="H3" s="49" t="s">
        <v>356</v>
      </c>
      <c r="I3" s="58">
        <v>46026</v>
      </c>
      <c r="J3" s="39" t="s">
        <v>357</v>
      </c>
      <c r="K3" s="73"/>
      <c r="L3" s="62" t="s">
        <v>358</v>
      </c>
      <c r="M3" s="32" t="s">
        <v>359</v>
      </c>
      <c r="N3" s="32" t="s">
        <v>360</v>
      </c>
      <c r="O3" s="41" t="s">
        <v>361</v>
      </c>
      <c r="P3" s="41" t="s">
        <v>362</v>
      </c>
      <c r="Q3" s="74" t="s">
        <v>363</v>
      </c>
      <c r="R3" s="74" t="s">
        <v>363</v>
      </c>
      <c r="S3" s="136" t="s">
        <v>364</v>
      </c>
      <c r="T3" s="55">
        <v>0</v>
      </c>
      <c r="U3" s="55">
        <v>10633183</v>
      </c>
      <c r="V3" s="55">
        <v>10633183</v>
      </c>
      <c r="W3" s="55">
        <v>0</v>
      </c>
      <c r="X3" s="55">
        <v>0</v>
      </c>
      <c r="Y3" s="166">
        <v>0</v>
      </c>
      <c r="Z3" s="28">
        <f t="shared" ref="Z3:Z34" si="2">SUM(T3:Y3)</f>
        <v>21266366</v>
      </c>
      <c r="AA3" s="51"/>
      <c r="AB3" s="51"/>
      <c r="AC3" s="51"/>
      <c r="AD3" s="51"/>
      <c r="AE3" s="51"/>
      <c r="AF3" s="51"/>
      <c r="AG3" s="106"/>
      <c r="AH3" s="51"/>
      <c r="AI3" s="51"/>
      <c r="AJ3" s="51"/>
      <c r="AK3" s="51"/>
      <c r="AL3" s="51"/>
      <c r="AM3" s="51"/>
      <c r="AN3" s="51"/>
      <c r="AO3" s="51"/>
      <c r="AP3" s="51"/>
      <c r="AQ3" s="51"/>
      <c r="AR3" s="51"/>
      <c r="AS3" s="51"/>
      <c r="AT3" s="51"/>
      <c r="AU3" s="51"/>
      <c r="AV3" s="60">
        <v>10633183</v>
      </c>
      <c r="AW3" s="51"/>
      <c r="AX3" s="51"/>
      <c r="AY3" s="51"/>
      <c r="AZ3" s="51"/>
      <c r="BA3" s="51"/>
      <c r="BB3" s="51"/>
      <c r="BC3" s="51"/>
      <c r="BD3" s="51"/>
      <c r="BE3" s="51"/>
      <c r="BF3" s="51"/>
      <c r="BG3" s="51"/>
      <c r="BH3" s="51"/>
      <c r="BI3" s="51"/>
      <c r="BJ3" s="51"/>
      <c r="BK3" s="51"/>
      <c r="BL3" s="51"/>
      <c r="BM3" s="51"/>
      <c r="BN3" s="51"/>
      <c r="BO3" s="51"/>
      <c r="BP3" s="85">
        <f t="shared" ref="BP3:BP17" si="3">T3-SUM(AA3,AD3,AG3,AJ3,AM3,AP3)</f>
        <v>0</v>
      </c>
      <c r="BQ3" s="85">
        <f>U3-SUM(AS3,AV3,AZ3,BD3,BH3,BL3)</f>
        <v>0</v>
      </c>
      <c r="BR3" s="85">
        <f t="shared" ref="BR3:BS6" si="4">W3-SUM(AB3,AE3,AH3,AK3,AN3,AQ3,AT3,AW3,BA3,BE3,BI3,BM3)</f>
        <v>0</v>
      </c>
      <c r="BS3" s="85">
        <f t="shared" si="4"/>
        <v>0</v>
      </c>
    </row>
    <row r="4" spans="1:71" s="50" customFormat="1" ht="106.35" customHeight="1" x14ac:dyDescent="0.25">
      <c r="A4" s="36" t="s">
        <v>351</v>
      </c>
      <c r="B4" s="42" t="s">
        <v>352</v>
      </c>
      <c r="C4" s="32" t="s">
        <v>353</v>
      </c>
      <c r="D4" s="30" t="str">
        <f t="shared" si="1"/>
        <v>1.1-1.2</v>
      </c>
      <c r="E4" s="32" t="s">
        <v>365</v>
      </c>
      <c r="F4" s="30" t="s">
        <v>167</v>
      </c>
      <c r="G4" s="49" t="s">
        <v>355</v>
      </c>
      <c r="H4" s="49" t="s">
        <v>356</v>
      </c>
      <c r="I4" s="58">
        <v>46026</v>
      </c>
      <c r="J4" s="39" t="s">
        <v>357</v>
      </c>
      <c r="K4" s="73"/>
      <c r="L4" s="62" t="s">
        <v>358</v>
      </c>
      <c r="M4" s="32" t="s">
        <v>359</v>
      </c>
      <c r="N4" s="32" t="s">
        <v>366</v>
      </c>
      <c r="O4" s="41" t="s">
        <v>367</v>
      </c>
      <c r="P4" s="41" t="s">
        <v>362</v>
      </c>
      <c r="Q4" s="74" t="s">
        <v>363</v>
      </c>
      <c r="R4" s="74" t="s">
        <v>363</v>
      </c>
      <c r="S4" s="136" t="s">
        <v>368</v>
      </c>
      <c r="T4" s="55"/>
      <c r="U4" s="55">
        <v>7890360</v>
      </c>
      <c r="V4" s="55">
        <v>7890360</v>
      </c>
      <c r="W4" s="55"/>
      <c r="X4" s="55"/>
      <c r="Y4" s="55">
        <v>0</v>
      </c>
      <c r="Z4" s="28">
        <f t="shared" si="2"/>
        <v>15780720</v>
      </c>
      <c r="AA4" s="51"/>
      <c r="AB4" s="51"/>
      <c r="AC4" s="51"/>
      <c r="AD4" s="51"/>
      <c r="AE4" s="51"/>
      <c r="AF4" s="51"/>
      <c r="AG4" s="106"/>
      <c r="AH4" s="51"/>
      <c r="AI4" s="51"/>
      <c r="AJ4" s="51"/>
      <c r="AK4" s="51"/>
      <c r="AL4" s="51"/>
      <c r="AM4" s="51"/>
      <c r="AN4" s="51"/>
      <c r="AO4" s="51"/>
      <c r="AP4" s="51"/>
      <c r="AQ4" s="51"/>
      <c r="AR4" s="51"/>
      <c r="AS4" s="51"/>
      <c r="AT4" s="51"/>
      <c r="AU4" s="51"/>
      <c r="AV4" s="60">
        <v>7890360</v>
      </c>
      <c r="AW4" s="51"/>
      <c r="AX4" s="51"/>
      <c r="AY4" s="51"/>
      <c r="AZ4" s="51"/>
      <c r="BA4" s="51"/>
      <c r="BB4" s="51"/>
      <c r="BC4" s="51"/>
      <c r="BD4" s="51"/>
      <c r="BE4" s="51"/>
      <c r="BF4" s="51"/>
      <c r="BG4" s="51"/>
      <c r="BH4" s="51"/>
      <c r="BI4" s="51"/>
      <c r="BJ4" s="51"/>
      <c r="BK4" s="51"/>
      <c r="BL4" s="51"/>
      <c r="BM4" s="51"/>
      <c r="BN4" s="51"/>
      <c r="BO4" s="51"/>
      <c r="BP4" s="85">
        <f t="shared" si="3"/>
        <v>0</v>
      </c>
      <c r="BQ4" s="85">
        <f>U4-SUM(AS4,AV4,AZ4,BD4,BH4,BL4)</f>
        <v>0</v>
      </c>
      <c r="BR4" s="85">
        <f t="shared" si="4"/>
        <v>0</v>
      </c>
      <c r="BS4" s="85">
        <f t="shared" si="4"/>
        <v>0</v>
      </c>
    </row>
    <row r="5" spans="1:71" s="50" customFormat="1" ht="102" customHeight="1" x14ac:dyDescent="0.25">
      <c r="A5" s="36" t="s">
        <v>351</v>
      </c>
      <c r="B5" s="42" t="s">
        <v>352</v>
      </c>
      <c r="C5" s="32" t="s">
        <v>353</v>
      </c>
      <c r="D5" s="30" t="str">
        <f t="shared" si="1"/>
        <v>1.1-1.3</v>
      </c>
      <c r="E5" s="32" t="s">
        <v>369</v>
      </c>
      <c r="F5" s="30" t="s">
        <v>167</v>
      </c>
      <c r="G5" s="49" t="s">
        <v>355</v>
      </c>
      <c r="H5" s="49" t="s">
        <v>356</v>
      </c>
      <c r="I5" s="58">
        <v>46027</v>
      </c>
      <c r="J5" s="39" t="s">
        <v>357</v>
      </c>
      <c r="K5" s="73"/>
      <c r="L5" s="62" t="s">
        <v>358</v>
      </c>
      <c r="M5" s="32" t="s">
        <v>359</v>
      </c>
      <c r="N5" s="32" t="s">
        <v>370</v>
      </c>
      <c r="O5" s="41" t="s">
        <v>371</v>
      </c>
      <c r="P5" s="41" t="s">
        <v>362</v>
      </c>
      <c r="Q5" s="74" t="s">
        <v>363</v>
      </c>
      <c r="R5" s="74" t="s">
        <v>363</v>
      </c>
      <c r="S5" s="136" t="s">
        <v>372</v>
      </c>
      <c r="T5" s="55"/>
      <c r="U5" s="55">
        <v>6021592</v>
      </c>
      <c r="V5" s="55">
        <v>6021592</v>
      </c>
      <c r="W5" s="55"/>
      <c r="X5" s="55"/>
      <c r="Y5" s="55">
        <v>0</v>
      </c>
      <c r="Z5" s="28">
        <f t="shared" si="2"/>
        <v>12043184</v>
      </c>
      <c r="AA5" s="51"/>
      <c r="AB5" s="51"/>
      <c r="AC5" s="51"/>
      <c r="AD5" s="51"/>
      <c r="AE5" s="51"/>
      <c r="AF5" s="51"/>
      <c r="AG5" s="51"/>
      <c r="AH5" s="51"/>
      <c r="AI5" s="51"/>
      <c r="AJ5" s="51"/>
      <c r="AK5" s="51"/>
      <c r="AL5" s="51"/>
      <c r="AM5" s="51"/>
      <c r="AN5" s="51"/>
      <c r="AO5" s="51"/>
      <c r="AP5" s="51"/>
      <c r="AQ5" s="51"/>
      <c r="AR5" s="51"/>
      <c r="AS5" s="51"/>
      <c r="AT5" s="51"/>
      <c r="AU5" s="51"/>
      <c r="AV5" s="60">
        <v>6021592</v>
      </c>
      <c r="AW5" s="51"/>
      <c r="AX5" s="51"/>
      <c r="AY5" s="51"/>
      <c r="AZ5" s="51"/>
      <c r="BA5" s="51"/>
      <c r="BB5" s="51"/>
      <c r="BC5" s="51"/>
      <c r="BD5" s="51"/>
      <c r="BE5" s="51"/>
      <c r="BF5" s="51"/>
      <c r="BG5" s="51"/>
      <c r="BH5" s="51"/>
      <c r="BI5" s="51"/>
      <c r="BJ5" s="51"/>
      <c r="BK5" s="51"/>
      <c r="BL5" s="51"/>
      <c r="BM5" s="51"/>
      <c r="BN5" s="51"/>
      <c r="BO5" s="51"/>
      <c r="BP5" s="85">
        <f t="shared" si="3"/>
        <v>0</v>
      </c>
      <c r="BQ5" s="85">
        <f>U5-SUM(AS5,AV5,AZ5,BD5,BH5,BL5)</f>
        <v>0</v>
      </c>
      <c r="BR5" s="85">
        <f t="shared" si="4"/>
        <v>0</v>
      </c>
      <c r="BS5" s="85">
        <f t="shared" si="4"/>
        <v>0</v>
      </c>
    </row>
    <row r="6" spans="1:71" s="50" customFormat="1" ht="106.35" customHeight="1" x14ac:dyDescent="0.25">
      <c r="A6" s="36" t="s">
        <v>351</v>
      </c>
      <c r="B6" s="42" t="s">
        <v>352</v>
      </c>
      <c r="C6" s="32" t="s">
        <v>353</v>
      </c>
      <c r="D6" s="30" t="str">
        <f t="shared" si="1"/>
        <v>1.1-1.4</v>
      </c>
      <c r="E6" s="32" t="s">
        <v>373</v>
      </c>
      <c r="F6" s="30" t="s">
        <v>167</v>
      </c>
      <c r="G6" s="49" t="s">
        <v>355</v>
      </c>
      <c r="H6" s="49" t="s">
        <v>356</v>
      </c>
      <c r="I6" s="58">
        <v>46026</v>
      </c>
      <c r="J6" s="39" t="s">
        <v>357</v>
      </c>
      <c r="K6" s="73"/>
      <c r="L6" s="62" t="s">
        <v>358</v>
      </c>
      <c r="M6" s="32" t="s">
        <v>359</v>
      </c>
      <c r="N6" s="32" t="s">
        <v>374</v>
      </c>
      <c r="O6" s="41" t="s">
        <v>375</v>
      </c>
      <c r="P6" s="41" t="s">
        <v>362</v>
      </c>
      <c r="Q6" s="74" t="s">
        <v>363</v>
      </c>
      <c r="R6" s="74" t="s">
        <v>363</v>
      </c>
      <c r="S6" s="74" t="s">
        <v>376</v>
      </c>
      <c r="T6" s="55"/>
      <c r="U6" s="55">
        <v>0</v>
      </c>
      <c r="V6" s="55">
        <v>0</v>
      </c>
      <c r="W6" s="55">
        <v>0</v>
      </c>
      <c r="X6" s="55">
        <v>0</v>
      </c>
      <c r="Y6" s="55">
        <v>0</v>
      </c>
      <c r="Z6" s="28">
        <f t="shared" si="2"/>
        <v>0</v>
      </c>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85">
        <f t="shared" si="3"/>
        <v>0</v>
      </c>
      <c r="BQ6" s="85">
        <f>U6-SUM(AS6,AV6,AZ6,BD6,BH6,BL6)</f>
        <v>0</v>
      </c>
      <c r="BR6" s="85">
        <f t="shared" si="4"/>
        <v>0</v>
      </c>
      <c r="BS6" s="85">
        <f t="shared" si="4"/>
        <v>0</v>
      </c>
    </row>
    <row r="7" spans="1:71" s="50" customFormat="1" ht="119.45" customHeight="1" x14ac:dyDescent="0.25">
      <c r="A7" s="36" t="s">
        <v>351</v>
      </c>
      <c r="B7" s="42" t="s">
        <v>377</v>
      </c>
      <c r="C7" s="32" t="s">
        <v>353</v>
      </c>
      <c r="D7" s="30" t="str">
        <f t="shared" si="1"/>
        <v>1.1-2.1</v>
      </c>
      <c r="E7" s="32" t="s">
        <v>378</v>
      </c>
      <c r="F7" s="30" t="s">
        <v>167</v>
      </c>
      <c r="G7" s="49" t="s">
        <v>355</v>
      </c>
      <c r="H7" s="49" t="s">
        <v>379</v>
      </c>
      <c r="I7" s="58">
        <v>46027</v>
      </c>
      <c r="J7" s="39" t="s">
        <v>357</v>
      </c>
      <c r="K7" s="73"/>
      <c r="L7" s="62" t="s">
        <v>380</v>
      </c>
      <c r="M7" s="32" t="s">
        <v>381</v>
      </c>
      <c r="N7" s="32" t="s">
        <v>382</v>
      </c>
      <c r="O7" s="41" t="s">
        <v>383</v>
      </c>
      <c r="P7" s="41" t="s">
        <v>384</v>
      </c>
      <c r="Q7" s="74" t="s">
        <v>363</v>
      </c>
      <c r="R7" s="74" t="s">
        <v>363</v>
      </c>
      <c r="S7" s="165" t="s">
        <v>385</v>
      </c>
      <c r="T7" s="55">
        <v>0</v>
      </c>
      <c r="U7" s="55">
        <v>0</v>
      </c>
      <c r="V7" s="55">
        <v>0</v>
      </c>
      <c r="W7" s="55">
        <v>3364310</v>
      </c>
      <c r="X7" s="55"/>
      <c r="Y7" s="55">
        <v>0</v>
      </c>
      <c r="Z7" s="28">
        <f t="shared" si="2"/>
        <v>3364310</v>
      </c>
      <c r="AA7" s="51"/>
      <c r="AB7" s="51"/>
      <c r="AC7" s="51"/>
      <c r="AD7" s="51"/>
      <c r="AE7" s="51"/>
      <c r="AF7" s="51"/>
      <c r="AG7" s="51"/>
      <c r="AH7" s="51"/>
      <c r="AI7" s="51"/>
      <c r="AJ7" s="51"/>
      <c r="AK7" s="51"/>
      <c r="AL7" s="51"/>
      <c r="AM7" s="51"/>
      <c r="AN7" s="51"/>
      <c r="AO7" s="51"/>
      <c r="AP7" s="51"/>
      <c r="AQ7" s="51"/>
      <c r="AR7" s="51"/>
      <c r="AS7" s="51"/>
      <c r="AT7" s="63"/>
      <c r="AU7" s="51"/>
      <c r="AV7" s="164"/>
      <c r="AW7" s="60">
        <v>3364310</v>
      </c>
      <c r="AX7" s="51"/>
      <c r="AY7" s="51"/>
      <c r="AZ7" s="51"/>
      <c r="BA7" s="51"/>
      <c r="BB7" s="51"/>
      <c r="BC7" s="51"/>
      <c r="BD7" s="51"/>
      <c r="BE7" s="51"/>
      <c r="BF7" s="51"/>
      <c r="BG7" s="51"/>
      <c r="BH7" s="51"/>
      <c r="BI7" s="51"/>
      <c r="BJ7" s="51"/>
      <c r="BK7" s="51"/>
      <c r="BL7" s="51"/>
      <c r="BM7" s="51"/>
      <c r="BN7" s="51"/>
      <c r="BO7" s="51"/>
      <c r="BP7" s="85">
        <f t="shared" si="3"/>
        <v>0</v>
      </c>
      <c r="BQ7" s="85">
        <f>U7-SUM(AS7,AW7,AZ7,BD7,BH7,BL7)</f>
        <v>-3364310</v>
      </c>
      <c r="BR7" s="85" t="e">
        <f>W7-SUM(AB7,AE7,AH7,AK7,AN7,AQ7,#REF!,#REF!,BA7,BE7,BI7,BM7)</f>
        <v>#REF!</v>
      </c>
      <c r="BS7" s="85">
        <f t="shared" ref="BS7:BS17" si="5">X7-SUM(AC7,AF7,AI7,AL7,AO7,AR7,AU7,AX7,BB7,BF7,BJ7,BN7)</f>
        <v>0</v>
      </c>
    </row>
    <row r="8" spans="1:71" s="50" customFormat="1" ht="103.35" customHeight="1" x14ac:dyDescent="0.25">
      <c r="A8" s="36" t="s">
        <v>351</v>
      </c>
      <c r="B8" s="42" t="s">
        <v>377</v>
      </c>
      <c r="C8" s="32" t="s">
        <v>353</v>
      </c>
      <c r="D8" s="30" t="str">
        <f t="shared" si="1"/>
        <v>1.1-2.2</v>
      </c>
      <c r="E8" s="32" t="s">
        <v>386</v>
      </c>
      <c r="F8" s="30" t="s">
        <v>167</v>
      </c>
      <c r="G8" s="49" t="s">
        <v>355</v>
      </c>
      <c r="H8" s="49" t="s">
        <v>379</v>
      </c>
      <c r="I8" s="58">
        <v>46027</v>
      </c>
      <c r="J8" s="39" t="s">
        <v>357</v>
      </c>
      <c r="K8" s="73"/>
      <c r="L8" s="62" t="s">
        <v>380</v>
      </c>
      <c r="M8" s="32" t="s">
        <v>381</v>
      </c>
      <c r="N8" s="32" t="s">
        <v>382</v>
      </c>
      <c r="O8" s="41" t="s">
        <v>384</v>
      </c>
      <c r="P8" s="41" t="s">
        <v>387</v>
      </c>
      <c r="Q8" s="74" t="s">
        <v>363</v>
      </c>
      <c r="R8" s="74" t="s">
        <v>363</v>
      </c>
      <c r="S8" s="163" t="s">
        <v>388</v>
      </c>
      <c r="T8" s="55"/>
      <c r="U8" s="55">
        <v>0</v>
      </c>
      <c r="V8" s="55">
        <v>0</v>
      </c>
      <c r="W8" s="55">
        <v>6275034</v>
      </c>
      <c r="X8" s="55"/>
      <c r="Y8" s="55">
        <v>0</v>
      </c>
      <c r="Z8" s="28">
        <f t="shared" si="2"/>
        <v>6275034</v>
      </c>
      <c r="AA8" s="51"/>
      <c r="AB8" s="51"/>
      <c r="AC8" s="51"/>
      <c r="AD8" s="51"/>
      <c r="AE8" s="51"/>
      <c r="AF8" s="51"/>
      <c r="AG8" s="51"/>
      <c r="AH8" s="51"/>
      <c r="AI8" s="51"/>
      <c r="AJ8" s="51"/>
      <c r="AK8" s="51"/>
      <c r="AL8" s="51"/>
      <c r="AM8" s="51"/>
      <c r="AN8" s="51"/>
      <c r="AO8" s="51"/>
      <c r="AP8" s="51"/>
      <c r="AQ8" s="51"/>
      <c r="AR8" s="51"/>
      <c r="AS8" s="51"/>
      <c r="AT8" s="63"/>
      <c r="AU8" s="51"/>
      <c r="AV8" s="164"/>
      <c r="AW8" s="60">
        <v>6275034</v>
      </c>
      <c r="AX8" s="51"/>
      <c r="AY8" s="51"/>
      <c r="AZ8" s="51"/>
      <c r="BA8" s="51"/>
      <c r="BB8" s="51"/>
      <c r="BC8" s="51"/>
      <c r="BD8" s="51"/>
      <c r="BE8" s="51"/>
      <c r="BF8" s="51"/>
      <c r="BG8" s="51"/>
      <c r="BH8" s="51"/>
      <c r="BI8" s="51"/>
      <c r="BJ8" s="51"/>
      <c r="BK8" s="51"/>
      <c r="BL8" s="51"/>
      <c r="BM8" s="51"/>
      <c r="BN8" s="51"/>
      <c r="BO8" s="51"/>
      <c r="BP8" s="85">
        <f t="shared" si="3"/>
        <v>0</v>
      </c>
      <c r="BQ8" s="85">
        <f>U8-SUM(AS8,AW8,AZ8,BD8,BH8,BL8)</f>
        <v>-6275034</v>
      </c>
      <c r="BR8" s="85" t="e">
        <f>W8-SUM(AB8,AE8,AH8,AK8,AN8,AQ8,#REF!,#REF!,BA8,BE8,BI8,BM8)</f>
        <v>#REF!</v>
      </c>
      <c r="BS8" s="85">
        <f t="shared" si="5"/>
        <v>0</v>
      </c>
    </row>
    <row r="9" spans="1:71" s="50" customFormat="1" ht="104.1" customHeight="1" x14ac:dyDescent="0.25">
      <c r="A9" s="36" t="s">
        <v>351</v>
      </c>
      <c r="B9" s="32" t="s">
        <v>389</v>
      </c>
      <c r="C9" s="32" t="s">
        <v>353</v>
      </c>
      <c r="D9" s="30" t="str">
        <f t="shared" si="1"/>
        <v>1.1-3.1</v>
      </c>
      <c r="E9" s="32" t="s">
        <v>390</v>
      </c>
      <c r="F9" s="30" t="s">
        <v>167</v>
      </c>
      <c r="G9" s="49" t="s">
        <v>355</v>
      </c>
      <c r="H9" s="49" t="s">
        <v>391</v>
      </c>
      <c r="I9" s="58">
        <v>46026</v>
      </c>
      <c r="J9" s="39" t="s">
        <v>357</v>
      </c>
      <c r="K9" s="73"/>
      <c r="L9" s="62" t="s">
        <v>392</v>
      </c>
      <c r="M9" s="32" t="s">
        <v>393</v>
      </c>
      <c r="N9" s="32" t="s">
        <v>394</v>
      </c>
      <c r="O9" s="41" t="s">
        <v>395</v>
      </c>
      <c r="P9" s="41" t="s">
        <v>396</v>
      </c>
      <c r="Q9" s="74" t="s">
        <v>363</v>
      </c>
      <c r="R9" s="74" t="s">
        <v>363</v>
      </c>
      <c r="S9" s="163" t="s">
        <v>397</v>
      </c>
      <c r="T9" s="55"/>
      <c r="U9" s="55">
        <v>7726354</v>
      </c>
      <c r="V9" s="55">
        <v>7726354</v>
      </c>
      <c r="W9" s="55"/>
      <c r="X9" s="55"/>
      <c r="Y9" s="55">
        <v>0</v>
      </c>
      <c r="Z9" s="28">
        <f t="shared" si="2"/>
        <v>15452708</v>
      </c>
      <c r="AA9" s="51"/>
      <c r="AB9" s="51"/>
      <c r="AC9" s="51"/>
      <c r="AD9" s="51"/>
      <c r="AE9" s="51"/>
      <c r="AF9" s="51"/>
      <c r="AG9" s="51"/>
      <c r="AH9" s="51"/>
      <c r="AI9" s="51"/>
      <c r="AJ9" s="51"/>
      <c r="AK9" s="51"/>
      <c r="AL9" s="51"/>
      <c r="AM9" s="51"/>
      <c r="AN9" s="51"/>
      <c r="AO9" s="51"/>
      <c r="AP9" s="51"/>
      <c r="AQ9" s="51"/>
      <c r="AR9" s="51"/>
      <c r="AS9" s="63"/>
      <c r="AT9" s="51"/>
      <c r="AU9" s="51"/>
      <c r="AV9" s="60">
        <v>7726354</v>
      </c>
      <c r="AW9" s="51"/>
      <c r="AX9" s="51"/>
      <c r="AY9" s="51"/>
      <c r="AZ9" s="51"/>
      <c r="BA9" s="51"/>
      <c r="BB9" s="51"/>
      <c r="BC9" s="51"/>
      <c r="BD9" s="51"/>
      <c r="BE9" s="51"/>
      <c r="BF9" s="51"/>
      <c r="BG9" s="51"/>
      <c r="BH9" s="51"/>
      <c r="BI9" s="51"/>
      <c r="BJ9" s="51"/>
      <c r="BK9" s="51"/>
      <c r="BL9" s="51"/>
      <c r="BM9" s="51"/>
      <c r="BN9" s="51"/>
      <c r="BO9" s="51"/>
      <c r="BP9" s="85">
        <f t="shared" si="3"/>
        <v>0</v>
      </c>
      <c r="BQ9" s="85" t="e">
        <f>U9-SUM(AV9,#REF!,AZ9,BD9,BH9,BL9)</f>
        <v>#REF!</v>
      </c>
      <c r="BR9" s="85">
        <f t="shared" ref="BR9:BR17" si="6">W9-SUM(AB9,AE9,AH9,AK9,AN9,AQ9,AT9,AW9,BA9,BE9,BI9,BM9)</f>
        <v>0</v>
      </c>
      <c r="BS9" s="85">
        <f t="shared" si="5"/>
        <v>0</v>
      </c>
    </row>
    <row r="10" spans="1:71" s="50" customFormat="1" ht="110.1" customHeight="1" x14ac:dyDescent="0.25">
      <c r="A10" s="36" t="s">
        <v>351</v>
      </c>
      <c r="B10" s="32" t="s">
        <v>398</v>
      </c>
      <c r="C10" s="32" t="s">
        <v>353</v>
      </c>
      <c r="D10" s="30" t="str">
        <f t="shared" si="1"/>
        <v>1.1-4.1</v>
      </c>
      <c r="E10" s="32" t="s">
        <v>399</v>
      </c>
      <c r="F10" s="30" t="s">
        <v>167</v>
      </c>
      <c r="G10" s="49" t="s">
        <v>355</v>
      </c>
      <c r="H10" s="49" t="s">
        <v>400</v>
      </c>
      <c r="I10" s="58">
        <v>46028</v>
      </c>
      <c r="J10" s="39" t="s">
        <v>357</v>
      </c>
      <c r="K10" s="73"/>
      <c r="L10" s="62" t="s">
        <v>401</v>
      </c>
      <c r="M10" s="32" t="s">
        <v>402</v>
      </c>
      <c r="N10" s="32" t="s">
        <v>403</v>
      </c>
      <c r="O10" s="41" t="s">
        <v>404</v>
      </c>
      <c r="P10" s="41" t="s">
        <v>405</v>
      </c>
      <c r="Q10" s="74" t="s">
        <v>363</v>
      </c>
      <c r="R10" s="74" t="s">
        <v>363</v>
      </c>
      <c r="S10" s="163" t="s">
        <v>406</v>
      </c>
      <c r="T10" s="55">
        <v>2335120</v>
      </c>
      <c r="U10" s="55">
        <v>2009900</v>
      </c>
      <c r="V10" s="55">
        <v>4345020</v>
      </c>
      <c r="W10" s="55"/>
      <c r="X10" s="55"/>
      <c r="Y10" s="55">
        <v>0</v>
      </c>
      <c r="Z10" s="28">
        <f t="shared" si="2"/>
        <v>8690040</v>
      </c>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60">
        <v>2009900</v>
      </c>
      <c r="BA10" s="51"/>
      <c r="BB10" s="51"/>
      <c r="BC10" s="51"/>
      <c r="BD10" s="51"/>
      <c r="BE10" s="51"/>
      <c r="BF10" s="51"/>
      <c r="BG10" s="51"/>
      <c r="BH10" s="51"/>
      <c r="BI10" s="51"/>
      <c r="BJ10" s="51"/>
      <c r="BK10" s="51"/>
      <c r="BL10" s="51"/>
      <c r="BM10" s="51"/>
      <c r="BN10" s="51"/>
      <c r="BO10" s="51"/>
      <c r="BP10" s="85">
        <f t="shared" si="3"/>
        <v>2335120</v>
      </c>
      <c r="BQ10" s="85">
        <f t="shared" ref="BQ10:BQ17" si="7">U10-SUM(AS10,AV10,AZ10,BD10,BH10,BL10)</f>
        <v>0</v>
      </c>
      <c r="BR10" s="85">
        <f t="shared" si="6"/>
        <v>0</v>
      </c>
      <c r="BS10" s="85">
        <f t="shared" si="5"/>
        <v>0</v>
      </c>
    </row>
    <row r="11" spans="1:71" s="50" customFormat="1" ht="98.1" customHeight="1" x14ac:dyDescent="0.25">
      <c r="A11" s="36" t="s">
        <v>351</v>
      </c>
      <c r="B11" s="32" t="s">
        <v>407</v>
      </c>
      <c r="C11" s="32" t="s">
        <v>353</v>
      </c>
      <c r="D11" s="30" t="str">
        <f t="shared" si="1"/>
        <v>1.1-5.1</v>
      </c>
      <c r="E11" s="32" t="s">
        <v>408</v>
      </c>
      <c r="F11" s="30" t="s">
        <v>167</v>
      </c>
      <c r="G11" s="49" t="s">
        <v>291</v>
      </c>
      <c r="H11" s="49" t="s">
        <v>409</v>
      </c>
      <c r="I11" s="58">
        <v>46025</v>
      </c>
      <c r="J11" s="39" t="s">
        <v>357</v>
      </c>
      <c r="K11" s="73"/>
      <c r="L11" s="62" t="s">
        <v>410</v>
      </c>
      <c r="M11" s="32" t="s">
        <v>411</v>
      </c>
      <c r="N11" s="32" t="s">
        <v>412</v>
      </c>
      <c r="O11" s="41" t="s">
        <v>413</v>
      </c>
      <c r="P11" s="41" t="s">
        <v>414</v>
      </c>
      <c r="Q11" s="74" t="s">
        <v>363</v>
      </c>
      <c r="R11" s="74" t="s">
        <v>415</v>
      </c>
      <c r="S11" s="136" t="s">
        <v>376</v>
      </c>
      <c r="T11" s="55">
        <v>0</v>
      </c>
      <c r="U11" s="55"/>
      <c r="V11" s="55">
        <v>0</v>
      </c>
      <c r="W11" s="55"/>
      <c r="X11" s="55"/>
      <c r="Y11" s="55">
        <v>0</v>
      </c>
      <c r="Z11" s="28">
        <f t="shared" si="2"/>
        <v>0</v>
      </c>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44">
        <f t="shared" si="3"/>
        <v>0</v>
      </c>
      <c r="BQ11" s="44">
        <f t="shared" si="7"/>
        <v>0</v>
      </c>
      <c r="BR11" s="44">
        <f t="shared" si="6"/>
        <v>0</v>
      </c>
      <c r="BS11" s="44">
        <f t="shared" si="5"/>
        <v>0</v>
      </c>
    </row>
    <row r="12" spans="1:71" s="50" customFormat="1" ht="81" customHeight="1" x14ac:dyDescent="0.25">
      <c r="A12" s="36" t="s">
        <v>351</v>
      </c>
      <c r="B12" s="32" t="s">
        <v>407</v>
      </c>
      <c r="C12" s="32" t="s">
        <v>353</v>
      </c>
      <c r="D12" s="30" t="str">
        <f t="shared" si="1"/>
        <v>1.1-5.2</v>
      </c>
      <c r="E12" s="32" t="s">
        <v>416</v>
      </c>
      <c r="F12" s="30" t="s">
        <v>167</v>
      </c>
      <c r="G12" s="49" t="s">
        <v>291</v>
      </c>
      <c r="H12" s="49" t="s">
        <v>409</v>
      </c>
      <c r="I12" s="58">
        <v>46025</v>
      </c>
      <c r="J12" s="39" t="s">
        <v>357</v>
      </c>
      <c r="K12" s="73"/>
      <c r="L12" s="62" t="s">
        <v>410</v>
      </c>
      <c r="M12" s="32" t="s">
        <v>411</v>
      </c>
      <c r="N12" s="32" t="s">
        <v>412</v>
      </c>
      <c r="O12" s="41" t="s">
        <v>414</v>
      </c>
      <c r="P12" s="41" t="s">
        <v>414</v>
      </c>
      <c r="Q12" s="74" t="s">
        <v>363</v>
      </c>
      <c r="R12" s="74" t="s">
        <v>415</v>
      </c>
      <c r="S12" s="136" t="s">
        <v>376</v>
      </c>
      <c r="T12" s="55">
        <v>0</v>
      </c>
      <c r="U12" s="55">
        <v>0</v>
      </c>
      <c r="V12" s="55">
        <v>0</v>
      </c>
      <c r="W12" s="55"/>
      <c r="X12" s="55">
        <v>20050000</v>
      </c>
      <c r="Y12" s="55">
        <v>0</v>
      </c>
      <c r="Z12" s="28">
        <f t="shared" si="2"/>
        <v>20050000</v>
      </c>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60">
        <v>20050000</v>
      </c>
      <c r="AY12" s="51"/>
      <c r="AZ12" s="51"/>
      <c r="BA12" s="51"/>
      <c r="BB12" s="51"/>
      <c r="BC12" s="51"/>
      <c r="BD12" s="51"/>
      <c r="BE12" s="51"/>
      <c r="BF12" s="51"/>
      <c r="BG12" s="51"/>
      <c r="BH12" s="51"/>
      <c r="BI12" s="51"/>
      <c r="BJ12" s="51"/>
      <c r="BK12" s="51"/>
      <c r="BL12" s="51"/>
      <c r="BM12" s="51"/>
      <c r="BN12" s="51"/>
      <c r="BO12" s="51"/>
      <c r="BP12" s="44">
        <f t="shared" si="3"/>
        <v>0</v>
      </c>
      <c r="BQ12" s="44">
        <f t="shared" si="7"/>
        <v>0</v>
      </c>
      <c r="BR12" s="44">
        <f t="shared" si="6"/>
        <v>0</v>
      </c>
      <c r="BS12" s="44">
        <f t="shared" si="5"/>
        <v>0</v>
      </c>
    </row>
    <row r="13" spans="1:71" s="50" customFormat="1" ht="66.75" customHeight="1" x14ac:dyDescent="0.25">
      <c r="A13" s="36" t="s">
        <v>351</v>
      </c>
      <c r="B13" s="42" t="s">
        <v>417</v>
      </c>
      <c r="C13" s="32" t="s">
        <v>353</v>
      </c>
      <c r="D13" s="30" t="str">
        <f t="shared" si="1"/>
        <v>1.1-6.1</v>
      </c>
      <c r="E13" s="32" t="s">
        <v>418</v>
      </c>
      <c r="F13" s="30" t="s">
        <v>167</v>
      </c>
      <c r="G13" s="49" t="s">
        <v>355</v>
      </c>
      <c r="H13" s="49" t="s">
        <v>419</v>
      </c>
      <c r="I13" s="58">
        <v>46027</v>
      </c>
      <c r="J13" s="39" t="s">
        <v>420</v>
      </c>
      <c r="K13" s="73"/>
      <c r="L13" s="62" t="s">
        <v>421</v>
      </c>
      <c r="M13" s="32" t="s">
        <v>422</v>
      </c>
      <c r="N13" s="32" t="s">
        <v>423</v>
      </c>
      <c r="O13" s="41" t="s">
        <v>424</v>
      </c>
      <c r="P13" s="41" t="s">
        <v>425</v>
      </c>
      <c r="Q13" s="74" t="s">
        <v>363</v>
      </c>
      <c r="R13" s="74" t="s">
        <v>363</v>
      </c>
      <c r="S13" s="163" t="s">
        <v>426</v>
      </c>
      <c r="T13" s="55"/>
      <c r="U13" s="55">
        <v>0</v>
      </c>
      <c r="V13" s="55">
        <v>0</v>
      </c>
      <c r="W13" s="55"/>
      <c r="X13" s="55">
        <v>4311360</v>
      </c>
      <c r="Y13" s="55">
        <v>0</v>
      </c>
      <c r="Z13" s="28">
        <f t="shared" si="2"/>
        <v>4311360</v>
      </c>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60">
        <v>4083740</v>
      </c>
      <c r="BC13" s="51"/>
      <c r="BD13" s="51"/>
      <c r="BE13" s="51"/>
      <c r="BF13" s="51"/>
      <c r="BG13" s="51"/>
      <c r="BH13" s="51"/>
      <c r="BI13" s="51"/>
      <c r="BJ13" s="51"/>
      <c r="BK13" s="51"/>
      <c r="BL13" s="51"/>
      <c r="BM13" s="51"/>
      <c r="BN13" s="51"/>
      <c r="BO13" s="51"/>
      <c r="BP13" s="85">
        <f t="shared" si="3"/>
        <v>0</v>
      </c>
      <c r="BQ13" s="85">
        <f t="shared" si="7"/>
        <v>0</v>
      </c>
      <c r="BR13" s="85">
        <f t="shared" si="6"/>
        <v>0</v>
      </c>
      <c r="BS13" s="85">
        <f t="shared" si="5"/>
        <v>227620</v>
      </c>
    </row>
    <row r="14" spans="1:71" s="50" customFormat="1" ht="69" customHeight="1" x14ac:dyDescent="0.25">
      <c r="A14" s="36" t="s">
        <v>351</v>
      </c>
      <c r="B14" s="42" t="s">
        <v>417</v>
      </c>
      <c r="C14" s="32" t="s">
        <v>353</v>
      </c>
      <c r="D14" s="30" t="str">
        <f t="shared" si="1"/>
        <v>1.1-6.2</v>
      </c>
      <c r="E14" s="32" t="s">
        <v>427</v>
      </c>
      <c r="F14" s="30" t="s">
        <v>167</v>
      </c>
      <c r="G14" s="49" t="s">
        <v>355</v>
      </c>
      <c r="H14" s="49" t="s">
        <v>419</v>
      </c>
      <c r="I14" s="58">
        <v>46027</v>
      </c>
      <c r="J14" s="39" t="s">
        <v>420</v>
      </c>
      <c r="K14" s="73"/>
      <c r="L14" s="62" t="s">
        <v>428</v>
      </c>
      <c r="M14" s="32" t="s">
        <v>422</v>
      </c>
      <c r="N14" s="32" t="s">
        <v>360</v>
      </c>
      <c r="O14" s="41" t="s">
        <v>425</v>
      </c>
      <c r="P14" s="41" t="s">
        <v>425</v>
      </c>
      <c r="Q14" s="74" t="s">
        <v>363</v>
      </c>
      <c r="R14" s="74" t="s">
        <v>363</v>
      </c>
      <c r="S14" s="163" t="s">
        <v>429</v>
      </c>
      <c r="T14" s="55"/>
      <c r="U14" s="55">
        <v>0</v>
      </c>
      <c r="V14" s="55">
        <v>0</v>
      </c>
      <c r="W14" s="55"/>
      <c r="X14" s="55">
        <v>7115655</v>
      </c>
      <c r="Y14" s="55">
        <v>0</v>
      </c>
      <c r="Z14" s="28">
        <f t="shared" si="2"/>
        <v>7115655</v>
      </c>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60">
        <v>7115655</v>
      </c>
      <c r="BC14" s="51"/>
      <c r="BD14" s="51"/>
      <c r="BE14" s="51"/>
      <c r="BF14" s="51"/>
      <c r="BG14" s="51"/>
      <c r="BH14" s="51"/>
      <c r="BI14" s="51"/>
      <c r="BJ14" s="51"/>
      <c r="BK14" s="51"/>
      <c r="BL14" s="51"/>
      <c r="BM14" s="51"/>
      <c r="BN14" s="51"/>
      <c r="BO14" s="51"/>
      <c r="BP14" s="85">
        <f t="shared" si="3"/>
        <v>0</v>
      </c>
      <c r="BQ14" s="85">
        <f t="shared" si="7"/>
        <v>0</v>
      </c>
      <c r="BR14" s="85">
        <f t="shared" si="6"/>
        <v>0</v>
      </c>
      <c r="BS14" s="85">
        <f t="shared" si="5"/>
        <v>0</v>
      </c>
    </row>
    <row r="15" spans="1:71" s="50" customFormat="1" ht="64.349999999999994" customHeight="1" x14ac:dyDescent="0.25">
      <c r="A15" s="36" t="s">
        <v>351</v>
      </c>
      <c r="B15" s="32" t="s">
        <v>430</v>
      </c>
      <c r="C15" s="32" t="s">
        <v>431</v>
      </c>
      <c r="D15" s="30" t="str">
        <f t="shared" si="1"/>
        <v>1.1-7.1</v>
      </c>
      <c r="E15" s="32" t="s">
        <v>432</v>
      </c>
      <c r="F15" s="30" t="s">
        <v>167</v>
      </c>
      <c r="G15" s="49" t="s">
        <v>355</v>
      </c>
      <c r="H15" s="49"/>
      <c r="I15" s="58">
        <v>46029</v>
      </c>
      <c r="J15" s="58" t="s">
        <v>433</v>
      </c>
      <c r="K15" s="73"/>
      <c r="L15" s="62" t="s">
        <v>434</v>
      </c>
      <c r="M15" s="32" t="s">
        <v>435</v>
      </c>
      <c r="N15" s="32" t="s">
        <v>436</v>
      </c>
      <c r="O15" s="41" t="s">
        <v>437</v>
      </c>
      <c r="P15" s="41" t="s">
        <v>437</v>
      </c>
      <c r="Q15" s="74" t="s">
        <v>363</v>
      </c>
      <c r="R15" s="74" t="s">
        <v>363</v>
      </c>
      <c r="S15" s="136" t="s">
        <v>438</v>
      </c>
      <c r="T15" s="55"/>
      <c r="U15" s="55">
        <v>515400</v>
      </c>
      <c r="V15" s="55">
        <v>515400</v>
      </c>
      <c r="W15" s="55">
        <v>515400</v>
      </c>
      <c r="X15" s="55">
        <v>515400</v>
      </c>
      <c r="Y15" s="55">
        <v>0</v>
      </c>
      <c r="Z15" s="28">
        <f t="shared" si="2"/>
        <v>2061600</v>
      </c>
      <c r="AA15" s="51"/>
      <c r="AB15" s="51"/>
      <c r="AC15" s="51"/>
      <c r="AD15" s="51"/>
      <c r="AE15" s="51"/>
      <c r="AF15" s="51"/>
      <c r="AG15" s="51"/>
      <c r="AH15" s="51"/>
      <c r="AI15" s="51"/>
      <c r="AJ15" s="51"/>
      <c r="AK15" s="51"/>
      <c r="AL15" s="51"/>
      <c r="AM15" s="51"/>
      <c r="AN15" s="51"/>
      <c r="AO15" s="51"/>
      <c r="AP15" s="51"/>
      <c r="AQ15" s="51"/>
      <c r="AR15" s="51"/>
      <c r="AS15" s="51"/>
      <c r="AT15" s="51"/>
      <c r="AU15" s="51"/>
      <c r="AV15" s="60">
        <v>515400</v>
      </c>
      <c r="AW15" s="51"/>
      <c r="AX15" s="51"/>
      <c r="AY15" s="51"/>
      <c r="AZ15" s="51"/>
      <c r="BA15" s="162">
        <v>515400</v>
      </c>
      <c r="BB15" s="51"/>
      <c r="BC15" s="51"/>
      <c r="BD15" s="51"/>
      <c r="BE15" s="51"/>
      <c r="BF15" s="60">
        <v>515400</v>
      </c>
      <c r="BG15" s="51"/>
      <c r="BH15" s="51"/>
      <c r="BI15" s="51"/>
      <c r="BJ15" s="51"/>
      <c r="BK15" s="51"/>
      <c r="BL15" s="51"/>
      <c r="BM15" s="51"/>
      <c r="BN15" s="51"/>
      <c r="BO15" s="51"/>
      <c r="BP15" s="85">
        <f t="shared" si="3"/>
        <v>0</v>
      </c>
      <c r="BQ15" s="85">
        <f t="shared" si="7"/>
        <v>0</v>
      </c>
      <c r="BR15" s="85">
        <f t="shared" si="6"/>
        <v>0</v>
      </c>
      <c r="BS15" s="85">
        <f t="shared" si="5"/>
        <v>0</v>
      </c>
    </row>
    <row r="16" spans="1:71" s="50" customFormat="1" ht="78.75" customHeight="1" x14ac:dyDescent="0.25">
      <c r="A16" s="36" t="s">
        <v>351</v>
      </c>
      <c r="B16" s="42" t="s">
        <v>439</v>
      </c>
      <c r="C16" s="32" t="s">
        <v>440</v>
      </c>
      <c r="D16" s="30" t="str">
        <f t="shared" si="1"/>
        <v>1.1-9.1</v>
      </c>
      <c r="E16" s="32" t="s">
        <v>441</v>
      </c>
      <c r="F16" s="30" t="s">
        <v>167</v>
      </c>
      <c r="G16" s="49" t="s">
        <v>355</v>
      </c>
      <c r="H16" s="49"/>
      <c r="I16" s="58">
        <v>45962</v>
      </c>
      <c r="J16" s="58" t="s">
        <v>442</v>
      </c>
      <c r="K16" s="73"/>
      <c r="L16" s="62" t="s">
        <v>443</v>
      </c>
      <c r="M16" s="62" t="s">
        <v>444</v>
      </c>
      <c r="N16" s="32" t="s">
        <v>360</v>
      </c>
      <c r="O16" s="41" t="s">
        <v>445</v>
      </c>
      <c r="P16" s="41" t="s">
        <v>445</v>
      </c>
      <c r="Q16" s="74" t="s">
        <v>363</v>
      </c>
      <c r="R16" s="74" t="s">
        <v>415</v>
      </c>
      <c r="S16" s="136" t="s">
        <v>376</v>
      </c>
      <c r="T16" s="55">
        <v>0</v>
      </c>
      <c r="U16" s="55"/>
      <c r="V16" s="55">
        <v>0</v>
      </c>
      <c r="W16" s="55"/>
      <c r="X16" s="55"/>
      <c r="Y16" s="55">
        <v>0</v>
      </c>
      <c r="Z16" s="28">
        <f t="shared" si="2"/>
        <v>0</v>
      </c>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44">
        <f t="shared" si="3"/>
        <v>0</v>
      </c>
      <c r="BQ16" s="44">
        <f t="shared" si="7"/>
        <v>0</v>
      </c>
      <c r="BR16" s="44">
        <f t="shared" si="6"/>
        <v>0</v>
      </c>
      <c r="BS16" s="44">
        <f t="shared" si="5"/>
        <v>0</v>
      </c>
    </row>
    <row r="17" spans="1:71" s="84" customFormat="1" ht="86.85" customHeight="1" x14ac:dyDescent="0.25">
      <c r="A17" s="36" t="s">
        <v>446</v>
      </c>
      <c r="B17" s="32" t="s">
        <v>447</v>
      </c>
      <c r="C17" s="98" t="s">
        <v>448</v>
      </c>
      <c r="D17" s="30" t="str">
        <f t="shared" si="1"/>
        <v>1.1-10.1</v>
      </c>
      <c r="E17" s="32" t="s">
        <v>449</v>
      </c>
      <c r="F17" s="30" t="s">
        <v>247</v>
      </c>
      <c r="G17" s="49" t="s">
        <v>450</v>
      </c>
      <c r="H17" s="49"/>
      <c r="I17" s="99">
        <v>45931</v>
      </c>
      <c r="J17" s="99">
        <v>46173</v>
      </c>
      <c r="K17" s="98" t="s">
        <v>451</v>
      </c>
      <c r="L17" s="98" t="s">
        <v>451</v>
      </c>
      <c r="M17" s="98" t="s">
        <v>452</v>
      </c>
      <c r="N17" s="98" t="s">
        <v>453</v>
      </c>
      <c r="O17" s="109" t="s">
        <v>454</v>
      </c>
      <c r="P17" s="109" t="s">
        <v>454</v>
      </c>
      <c r="Q17" s="109" t="s">
        <v>455</v>
      </c>
      <c r="R17" s="109" t="s">
        <v>456</v>
      </c>
      <c r="S17" s="93" t="s">
        <v>457</v>
      </c>
      <c r="T17" s="48"/>
      <c r="U17" s="55">
        <v>0</v>
      </c>
      <c r="V17" s="55">
        <v>0</v>
      </c>
      <c r="W17" s="48">
        <v>6650000</v>
      </c>
      <c r="X17" s="48">
        <v>9750000</v>
      </c>
      <c r="Y17" s="48">
        <v>0</v>
      </c>
      <c r="Z17" s="28">
        <f t="shared" si="2"/>
        <v>16400000</v>
      </c>
      <c r="AA17" s="95"/>
      <c r="AB17" s="95"/>
      <c r="AC17" s="95"/>
      <c r="AD17" s="95"/>
      <c r="AE17" s="95"/>
      <c r="AF17" s="95"/>
      <c r="AG17" s="158"/>
      <c r="AH17" s="157">
        <f>190000*35</f>
        <v>6650000</v>
      </c>
      <c r="AI17" s="157">
        <f>650000*15</f>
        <v>9750000</v>
      </c>
      <c r="AJ17" s="95"/>
      <c r="AK17" s="95"/>
      <c r="AL17" s="95"/>
      <c r="AM17" s="95"/>
      <c r="AN17" s="95"/>
      <c r="AO17" s="95"/>
      <c r="AP17" s="95"/>
      <c r="AQ17" s="95"/>
      <c r="AR17" s="95"/>
      <c r="AS17" s="95"/>
      <c r="AT17" s="95"/>
      <c r="AU17" s="95"/>
      <c r="AV17" s="95"/>
      <c r="AW17" s="104">
        <v>6650000</v>
      </c>
      <c r="AX17" s="104">
        <v>9750000</v>
      </c>
      <c r="AY17" s="95"/>
      <c r="AZ17" s="95"/>
      <c r="BA17" s="95"/>
      <c r="BB17" s="95"/>
      <c r="BC17" s="95"/>
      <c r="BD17" s="95"/>
      <c r="BE17" s="95"/>
      <c r="BF17" s="95"/>
      <c r="BG17" s="95"/>
      <c r="BH17" s="95"/>
      <c r="BI17" s="95"/>
      <c r="BJ17" s="95"/>
      <c r="BK17" s="95"/>
      <c r="BL17" s="95"/>
      <c r="BM17" s="95"/>
      <c r="BN17" s="95"/>
      <c r="BO17" s="95"/>
      <c r="BP17" s="85">
        <f t="shared" si="3"/>
        <v>0</v>
      </c>
      <c r="BQ17" s="85">
        <f t="shared" si="7"/>
        <v>0</v>
      </c>
      <c r="BR17" s="85">
        <f t="shared" si="6"/>
        <v>-6650000</v>
      </c>
      <c r="BS17" s="85">
        <f t="shared" si="5"/>
        <v>-9750000</v>
      </c>
    </row>
    <row r="18" spans="1:71" s="84" customFormat="1" ht="86.85" customHeight="1" x14ac:dyDescent="0.25">
      <c r="A18" s="36" t="s">
        <v>446</v>
      </c>
      <c r="B18" s="32" t="s">
        <v>458</v>
      </c>
      <c r="C18" s="98" t="s">
        <v>459</v>
      </c>
      <c r="D18" s="30" t="str">
        <f t="shared" si="1"/>
        <v>1.1-11.1</v>
      </c>
      <c r="E18" s="32" t="s">
        <v>460</v>
      </c>
      <c r="F18" s="39" t="s">
        <v>167</v>
      </c>
      <c r="G18" s="49" t="s">
        <v>461</v>
      </c>
      <c r="H18" s="49" t="s">
        <v>355</v>
      </c>
      <c r="I18" s="99">
        <v>46143</v>
      </c>
      <c r="J18" s="99">
        <v>46203</v>
      </c>
      <c r="K18" s="98"/>
      <c r="L18" s="161" t="s">
        <v>462</v>
      </c>
      <c r="M18" s="98"/>
      <c r="N18" s="161" t="s">
        <v>463</v>
      </c>
      <c r="O18" s="109" t="s">
        <v>464</v>
      </c>
      <c r="P18" s="160" t="s">
        <v>465</v>
      </c>
      <c r="Q18" s="159" t="s">
        <v>363</v>
      </c>
      <c r="R18" s="109" t="s">
        <v>466</v>
      </c>
      <c r="S18" s="30" t="s">
        <v>376</v>
      </c>
      <c r="T18" s="48"/>
      <c r="U18" s="55"/>
      <c r="V18" s="55">
        <v>0</v>
      </c>
      <c r="W18" s="48"/>
      <c r="X18" s="48"/>
      <c r="Y18" s="48"/>
      <c r="Z18" s="28">
        <f t="shared" si="2"/>
        <v>0</v>
      </c>
      <c r="AA18" s="95"/>
      <c r="AB18" s="95"/>
      <c r="AC18" s="95"/>
      <c r="AD18" s="95"/>
      <c r="AE18" s="95"/>
      <c r="AF18" s="95"/>
      <c r="AG18" s="158"/>
      <c r="AH18" s="157"/>
      <c r="AI18" s="157"/>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85"/>
      <c r="BQ18" s="85"/>
      <c r="BR18" s="85"/>
      <c r="BS18" s="85"/>
    </row>
    <row r="19" spans="1:71" s="84" customFormat="1" ht="86.85" customHeight="1" x14ac:dyDescent="0.25">
      <c r="A19" s="36" t="s">
        <v>446</v>
      </c>
      <c r="B19" s="32" t="s">
        <v>458</v>
      </c>
      <c r="C19" s="98" t="s">
        <v>459</v>
      </c>
      <c r="D19" s="30" t="str">
        <f t="shared" si="1"/>
        <v>1.1-11.2</v>
      </c>
      <c r="E19" s="32" t="s">
        <v>467</v>
      </c>
      <c r="F19" s="39" t="s">
        <v>167</v>
      </c>
      <c r="G19" s="49" t="s">
        <v>461</v>
      </c>
      <c r="H19" s="49" t="s">
        <v>355</v>
      </c>
      <c r="I19" s="99">
        <v>46157</v>
      </c>
      <c r="J19" s="99">
        <v>46203</v>
      </c>
      <c r="K19" s="98"/>
      <c r="L19" s="161" t="s">
        <v>462</v>
      </c>
      <c r="M19" s="98"/>
      <c r="N19" s="161" t="s">
        <v>463</v>
      </c>
      <c r="O19" s="109" t="s">
        <v>468</v>
      </c>
      <c r="P19" s="160" t="s">
        <v>465</v>
      </c>
      <c r="Q19" s="159" t="s">
        <v>363</v>
      </c>
      <c r="R19" s="109" t="s">
        <v>363</v>
      </c>
      <c r="S19" s="30" t="s">
        <v>376</v>
      </c>
      <c r="T19" s="48"/>
      <c r="U19" s="55"/>
      <c r="V19" s="55">
        <v>0</v>
      </c>
      <c r="W19" s="48"/>
      <c r="X19" s="48"/>
      <c r="Y19" s="48"/>
      <c r="Z19" s="28">
        <f t="shared" si="2"/>
        <v>0</v>
      </c>
      <c r="AA19" s="95"/>
      <c r="AB19" s="95"/>
      <c r="AC19" s="95"/>
      <c r="AD19" s="95"/>
      <c r="AE19" s="95"/>
      <c r="AF19" s="95"/>
      <c r="AG19" s="158"/>
      <c r="AH19" s="157"/>
      <c r="AI19" s="157"/>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85"/>
      <c r="BQ19" s="85"/>
      <c r="BR19" s="85"/>
      <c r="BS19" s="85"/>
    </row>
    <row r="20" spans="1:71" s="84" customFormat="1" ht="86.85" customHeight="1" x14ac:dyDescent="0.25">
      <c r="A20" s="36" t="s">
        <v>446</v>
      </c>
      <c r="B20" s="32" t="s">
        <v>458</v>
      </c>
      <c r="C20" s="98" t="s">
        <v>459</v>
      </c>
      <c r="D20" s="30" t="str">
        <f t="shared" si="1"/>
        <v>1.1-11.3</v>
      </c>
      <c r="E20" s="32" t="s">
        <v>469</v>
      </c>
      <c r="F20" s="39" t="s">
        <v>167</v>
      </c>
      <c r="G20" s="49" t="s">
        <v>461</v>
      </c>
      <c r="H20" s="49" t="s">
        <v>355</v>
      </c>
      <c r="I20" s="99">
        <v>46174</v>
      </c>
      <c r="J20" s="99">
        <v>46203</v>
      </c>
      <c r="K20" s="98"/>
      <c r="L20" s="161" t="s">
        <v>462</v>
      </c>
      <c r="M20" s="98"/>
      <c r="N20" s="161" t="s">
        <v>463</v>
      </c>
      <c r="O20" s="109" t="s">
        <v>470</v>
      </c>
      <c r="P20" s="160" t="s">
        <v>465</v>
      </c>
      <c r="Q20" s="159" t="s">
        <v>363</v>
      </c>
      <c r="R20" s="109" t="s">
        <v>363</v>
      </c>
      <c r="S20" s="30" t="s">
        <v>376</v>
      </c>
      <c r="T20" s="48"/>
      <c r="U20" s="55"/>
      <c r="V20" s="55">
        <v>0</v>
      </c>
      <c r="W20" s="48"/>
      <c r="X20" s="48"/>
      <c r="Y20" s="48"/>
      <c r="Z20" s="28">
        <f t="shared" si="2"/>
        <v>0</v>
      </c>
      <c r="AA20" s="95"/>
      <c r="AB20" s="95"/>
      <c r="AC20" s="95"/>
      <c r="AD20" s="95"/>
      <c r="AE20" s="95"/>
      <c r="AF20" s="95"/>
      <c r="AG20" s="158"/>
      <c r="AH20" s="157"/>
      <c r="AI20" s="157"/>
      <c r="AJ20" s="95"/>
      <c r="AK20" s="95"/>
      <c r="AL20" s="95"/>
      <c r="AM20" s="95"/>
      <c r="AN20" s="95"/>
      <c r="AO20" s="95"/>
      <c r="AP20" s="95"/>
      <c r="AQ20" s="95"/>
      <c r="AR20" s="95"/>
      <c r="AS20" s="95"/>
      <c r="AT20" s="95"/>
      <c r="AU20" s="95"/>
      <c r="AV20" s="95"/>
      <c r="AW20" s="95"/>
      <c r="AX20" s="95"/>
      <c r="AY20" s="95"/>
      <c r="AZ20" s="95"/>
      <c r="BA20" s="95"/>
      <c r="BB20" s="95"/>
      <c r="BC20" s="95"/>
      <c r="BD20" s="95"/>
      <c r="BE20" s="95"/>
      <c r="BF20" s="95"/>
      <c r="BG20" s="95"/>
      <c r="BH20" s="95"/>
      <c r="BI20" s="95"/>
      <c r="BJ20" s="95"/>
      <c r="BK20" s="95"/>
      <c r="BL20" s="95"/>
      <c r="BM20" s="95"/>
      <c r="BN20" s="95"/>
      <c r="BO20" s="95"/>
      <c r="BP20" s="85"/>
      <c r="BQ20" s="85"/>
      <c r="BR20" s="85"/>
      <c r="BS20" s="85"/>
    </row>
    <row r="21" spans="1:71" s="84" customFormat="1" ht="86.85" customHeight="1" x14ac:dyDescent="0.25">
      <c r="A21" s="36" t="s">
        <v>446</v>
      </c>
      <c r="B21" s="32" t="s">
        <v>458</v>
      </c>
      <c r="C21" s="98" t="s">
        <v>459</v>
      </c>
      <c r="D21" s="30" t="str">
        <f t="shared" si="1"/>
        <v>1.1-11.4</v>
      </c>
      <c r="E21" s="32" t="s">
        <v>471</v>
      </c>
      <c r="F21" s="39" t="s">
        <v>167</v>
      </c>
      <c r="G21" s="49" t="s">
        <v>461</v>
      </c>
      <c r="H21" s="49" t="s">
        <v>355</v>
      </c>
      <c r="I21" s="99">
        <v>46204</v>
      </c>
      <c r="J21" s="99">
        <v>46264</v>
      </c>
      <c r="K21" s="98"/>
      <c r="L21" s="161" t="s">
        <v>462</v>
      </c>
      <c r="M21" s="98"/>
      <c r="N21" s="161" t="s">
        <v>463</v>
      </c>
      <c r="O21" s="109" t="s">
        <v>472</v>
      </c>
      <c r="P21" s="160" t="s">
        <v>465</v>
      </c>
      <c r="Q21" s="159" t="s">
        <v>363</v>
      </c>
      <c r="R21" s="109" t="s">
        <v>363</v>
      </c>
      <c r="S21" s="30" t="s">
        <v>376</v>
      </c>
      <c r="T21" s="48"/>
      <c r="U21" s="55"/>
      <c r="V21" s="55">
        <v>0</v>
      </c>
      <c r="W21" s="48"/>
      <c r="X21" s="48"/>
      <c r="Y21" s="48"/>
      <c r="Z21" s="28">
        <f t="shared" si="2"/>
        <v>0</v>
      </c>
      <c r="AA21" s="95"/>
      <c r="AB21" s="95"/>
      <c r="AC21" s="95"/>
      <c r="AD21" s="95"/>
      <c r="AE21" s="95"/>
      <c r="AF21" s="95"/>
      <c r="AG21" s="158"/>
      <c r="AH21" s="157"/>
      <c r="AI21" s="157"/>
      <c r="AJ21" s="95"/>
      <c r="AK21" s="95"/>
      <c r="AL21" s="95"/>
      <c r="AM21" s="95"/>
      <c r="AN21" s="95"/>
      <c r="AO21" s="95"/>
      <c r="AP21" s="95"/>
      <c r="AQ21" s="95"/>
      <c r="AR21" s="95"/>
      <c r="AS21" s="95"/>
      <c r="AT21" s="95"/>
      <c r="AU21" s="95"/>
      <c r="AV21" s="95"/>
      <c r="AW21" s="95"/>
      <c r="AX21" s="95"/>
      <c r="AY21" s="95"/>
      <c r="AZ21" s="95"/>
      <c r="BA21" s="95"/>
      <c r="BB21" s="95"/>
      <c r="BC21" s="95"/>
      <c r="BD21" s="95"/>
      <c r="BE21" s="95"/>
      <c r="BF21" s="95"/>
      <c r="BG21" s="95"/>
      <c r="BH21" s="95"/>
      <c r="BI21" s="95"/>
      <c r="BJ21" s="95"/>
      <c r="BK21" s="95"/>
      <c r="BL21" s="95"/>
      <c r="BM21" s="95"/>
      <c r="BN21" s="95"/>
      <c r="BO21" s="95"/>
      <c r="BP21" s="85"/>
      <c r="BQ21" s="85"/>
      <c r="BR21" s="85"/>
      <c r="BS21" s="85"/>
    </row>
    <row r="22" spans="1:71" s="84" customFormat="1" ht="72" customHeight="1" x14ac:dyDescent="0.25">
      <c r="A22" s="36" t="s">
        <v>473</v>
      </c>
      <c r="B22" s="32" t="s">
        <v>474</v>
      </c>
      <c r="C22" s="32" t="s">
        <v>475</v>
      </c>
      <c r="D22" s="30" t="str">
        <f t="shared" si="1"/>
        <v>1.2-1.1</v>
      </c>
      <c r="E22" s="32" t="s">
        <v>476</v>
      </c>
      <c r="F22" s="30" t="s">
        <v>26</v>
      </c>
      <c r="G22" s="49" t="s">
        <v>461</v>
      </c>
      <c r="H22" s="49" t="s">
        <v>477</v>
      </c>
      <c r="I22" s="58">
        <v>45931</v>
      </c>
      <c r="J22" s="58">
        <v>46295</v>
      </c>
      <c r="K22" s="32" t="s">
        <v>478</v>
      </c>
      <c r="L22" s="32" t="s">
        <v>479</v>
      </c>
      <c r="M22" s="32" t="s">
        <v>480</v>
      </c>
      <c r="N22" s="32" t="s">
        <v>481</v>
      </c>
      <c r="O22" s="30" t="s">
        <v>482</v>
      </c>
      <c r="P22" s="41" t="s">
        <v>483</v>
      </c>
      <c r="Q22" s="30" t="s">
        <v>363</v>
      </c>
      <c r="R22" s="30" t="s">
        <v>363</v>
      </c>
      <c r="S22" s="74" t="s">
        <v>376</v>
      </c>
      <c r="T22" s="55">
        <v>0</v>
      </c>
      <c r="U22" s="55"/>
      <c r="V22" s="55">
        <v>0</v>
      </c>
      <c r="W22" s="55">
        <v>0</v>
      </c>
      <c r="X22" s="55"/>
      <c r="Y22" s="55">
        <v>0</v>
      </c>
      <c r="Z22" s="28">
        <f t="shared" si="2"/>
        <v>0</v>
      </c>
      <c r="AA22" s="51"/>
      <c r="AB22" s="51"/>
      <c r="AC22" s="51"/>
      <c r="AD22" s="51"/>
      <c r="AE22" s="51"/>
      <c r="AF22" s="51"/>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5"/>
      <c r="BF22" s="95"/>
      <c r="BG22" s="95"/>
      <c r="BH22" s="95"/>
      <c r="BI22" s="95"/>
      <c r="BJ22" s="95"/>
      <c r="BK22" s="95"/>
      <c r="BL22" s="95"/>
      <c r="BM22" s="95"/>
      <c r="BN22" s="95"/>
      <c r="BO22" s="95"/>
      <c r="BP22" s="44">
        <f t="shared" ref="BP22:BP37" si="8">T22-SUM(AA22,AD22,AG22,AJ22,AM22,AP22)</f>
        <v>0</v>
      </c>
      <c r="BQ22" s="44">
        <f t="shared" ref="BQ22:BQ37" si="9">U22-SUM(AS22,AV22,AZ22,BD22,BH22,BL22)</f>
        <v>0</v>
      </c>
      <c r="BR22" s="44">
        <f t="shared" ref="BR22:BR37" si="10">W22-SUM(AB22,AE22,AH22,AK22,AN22,AQ22,AT22,AW22,BA22,BE22,BI22,BM22)</f>
        <v>0</v>
      </c>
      <c r="BS22" s="44">
        <f t="shared" ref="BS22:BS37" si="11">X22-SUM(AC22,AF22,AI22,AL22,AO22,AR22,AU22,AX22,BB22,BF22,BJ22,BN22)</f>
        <v>0</v>
      </c>
    </row>
    <row r="23" spans="1:71" s="84" customFormat="1" ht="72" customHeight="1" x14ac:dyDescent="0.25">
      <c r="A23" s="36" t="s">
        <v>473</v>
      </c>
      <c r="B23" s="32" t="s">
        <v>474</v>
      </c>
      <c r="C23" s="32" t="s">
        <v>475</v>
      </c>
      <c r="D23" s="30" t="str">
        <f t="shared" si="1"/>
        <v>1.2-1.2</v>
      </c>
      <c r="E23" s="32" t="s">
        <v>484</v>
      </c>
      <c r="F23" s="30" t="s">
        <v>26</v>
      </c>
      <c r="G23" s="49" t="s">
        <v>461</v>
      </c>
      <c r="H23" s="49" t="s">
        <v>477</v>
      </c>
      <c r="I23" s="58">
        <v>45931</v>
      </c>
      <c r="J23" s="58">
        <v>46295</v>
      </c>
      <c r="K23" s="32" t="s">
        <v>485</v>
      </c>
      <c r="L23" s="32" t="s">
        <v>479</v>
      </c>
      <c r="M23" s="32" t="s">
        <v>486</v>
      </c>
      <c r="N23" s="32" t="s">
        <v>481</v>
      </c>
      <c r="O23" s="30" t="s">
        <v>482</v>
      </c>
      <c r="P23" s="41" t="s">
        <v>483</v>
      </c>
      <c r="Q23" s="30" t="s">
        <v>363</v>
      </c>
      <c r="R23" s="30" t="s">
        <v>363</v>
      </c>
      <c r="S23" s="74" t="s">
        <v>376</v>
      </c>
      <c r="T23" s="55">
        <v>0</v>
      </c>
      <c r="U23" s="55"/>
      <c r="V23" s="55">
        <v>0</v>
      </c>
      <c r="W23" s="55">
        <v>0</v>
      </c>
      <c r="X23" s="55"/>
      <c r="Y23" s="55">
        <v>0</v>
      </c>
      <c r="Z23" s="28">
        <f t="shared" si="2"/>
        <v>0</v>
      </c>
      <c r="AA23" s="51"/>
      <c r="AB23" s="51"/>
      <c r="AC23" s="51"/>
      <c r="AD23" s="51"/>
      <c r="AE23" s="51"/>
      <c r="AF23" s="51"/>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44">
        <f t="shared" si="8"/>
        <v>0</v>
      </c>
      <c r="BQ23" s="44">
        <f t="shared" si="9"/>
        <v>0</v>
      </c>
      <c r="BR23" s="44">
        <f t="shared" si="10"/>
        <v>0</v>
      </c>
      <c r="BS23" s="44">
        <f t="shared" si="11"/>
        <v>0</v>
      </c>
    </row>
    <row r="24" spans="1:71" s="84" customFormat="1" ht="72" customHeight="1" x14ac:dyDescent="0.25">
      <c r="A24" s="36" t="s">
        <v>473</v>
      </c>
      <c r="B24" s="32" t="s">
        <v>474</v>
      </c>
      <c r="C24" s="32" t="s">
        <v>475</v>
      </c>
      <c r="D24" s="30" t="str">
        <f t="shared" si="1"/>
        <v>1.2-1.3</v>
      </c>
      <c r="E24" s="32" t="s">
        <v>487</v>
      </c>
      <c r="F24" s="30" t="s">
        <v>26</v>
      </c>
      <c r="G24" s="49" t="s">
        <v>461</v>
      </c>
      <c r="H24" s="49" t="s">
        <v>477</v>
      </c>
      <c r="I24" s="58">
        <v>45931</v>
      </c>
      <c r="J24" s="58">
        <v>46295</v>
      </c>
      <c r="K24" s="32" t="s">
        <v>488</v>
      </c>
      <c r="L24" s="32" t="s">
        <v>479</v>
      </c>
      <c r="M24" s="32" t="s">
        <v>486</v>
      </c>
      <c r="N24" s="32" t="s">
        <v>481</v>
      </c>
      <c r="O24" s="30" t="s">
        <v>482</v>
      </c>
      <c r="P24" s="41" t="s">
        <v>483</v>
      </c>
      <c r="Q24" s="30" t="s">
        <v>363</v>
      </c>
      <c r="R24" s="30" t="s">
        <v>363</v>
      </c>
      <c r="S24" s="74" t="s">
        <v>376</v>
      </c>
      <c r="T24" s="55">
        <v>0</v>
      </c>
      <c r="U24" s="55"/>
      <c r="V24" s="55">
        <v>0</v>
      </c>
      <c r="W24" s="55">
        <v>0</v>
      </c>
      <c r="X24" s="55"/>
      <c r="Y24" s="55">
        <v>0</v>
      </c>
      <c r="Z24" s="28">
        <f t="shared" si="2"/>
        <v>0</v>
      </c>
      <c r="AA24" s="51"/>
      <c r="AB24" s="51"/>
      <c r="AC24" s="51"/>
      <c r="AD24" s="51"/>
      <c r="AE24" s="51"/>
      <c r="AF24" s="51"/>
      <c r="AG24" s="95"/>
      <c r="AH24" s="95"/>
      <c r="AI24" s="95"/>
      <c r="AJ24" s="95"/>
      <c r="AK24" s="95"/>
      <c r="AL24" s="95"/>
      <c r="AM24" s="95"/>
      <c r="AN24" s="95"/>
      <c r="AO24" s="95"/>
      <c r="AP24" s="95"/>
      <c r="AQ24" s="95"/>
      <c r="AR24" s="95"/>
      <c r="AS24" s="95"/>
      <c r="AT24" s="95"/>
      <c r="AU24" s="95"/>
      <c r="AV24" s="95"/>
      <c r="AW24" s="95"/>
      <c r="AX24" s="95"/>
      <c r="AY24" s="95"/>
      <c r="AZ24" s="95"/>
      <c r="BA24" s="95"/>
      <c r="BB24" s="95"/>
      <c r="BC24" s="95"/>
      <c r="BD24" s="95"/>
      <c r="BE24" s="95"/>
      <c r="BF24" s="95"/>
      <c r="BG24" s="95"/>
      <c r="BH24" s="95"/>
      <c r="BI24" s="95"/>
      <c r="BJ24" s="95"/>
      <c r="BK24" s="95"/>
      <c r="BL24" s="95"/>
      <c r="BM24" s="95"/>
      <c r="BN24" s="95"/>
      <c r="BO24" s="95"/>
      <c r="BP24" s="44">
        <f t="shared" si="8"/>
        <v>0</v>
      </c>
      <c r="BQ24" s="44">
        <f t="shared" si="9"/>
        <v>0</v>
      </c>
      <c r="BR24" s="44">
        <f t="shared" si="10"/>
        <v>0</v>
      </c>
      <c r="BS24" s="44">
        <f t="shared" si="11"/>
        <v>0</v>
      </c>
    </row>
    <row r="25" spans="1:71" s="84" customFormat="1" ht="115.35" customHeight="1" x14ac:dyDescent="0.25">
      <c r="A25" s="36" t="s">
        <v>473</v>
      </c>
      <c r="B25" s="43" t="s">
        <v>489</v>
      </c>
      <c r="C25" s="43" t="s">
        <v>490</v>
      </c>
      <c r="D25" s="30" t="str">
        <f t="shared" si="1"/>
        <v>1.2-2.1</v>
      </c>
      <c r="E25" s="43" t="s">
        <v>491</v>
      </c>
      <c r="F25" s="189" t="s">
        <v>247</v>
      </c>
      <c r="G25" s="190" t="s">
        <v>461</v>
      </c>
      <c r="H25" s="190"/>
      <c r="I25" s="156">
        <v>45962</v>
      </c>
      <c r="J25" s="156" t="s">
        <v>492</v>
      </c>
      <c r="K25" s="43" t="s">
        <v>451</v>
      </c>
      <c r="L25" s="43" t="s">
        <v>451</v>
      </c>
      <c r="M25" s="43" t="s">
        <v>452</v>
      </c>
      <c r="N25" s="43" t="s">
        <v>493</v>
      </c>
      <c r="O25" s="189" t="s">
        <v>454</v>
      </c>
      <c r="P25" s="77" t="s">
        <v>454</v>
      </c>
      <c r="Q25" s="189" t="s">
        <v>455</v>
      </c>
      <c r="R25" s="189" t="s">
        <v>456</v>
      </c>
      <c r="S25" s="77" t="s">
        <v>494</v>
      </c>
      <c r="T25" s="76">
        <v>975000</v>
      </c>
      <c r="U25" s="76"/>
      <c r="V25" s="76">
        <v>975000</v>
      </c>
      <c r="W25" s="76"/>
      <c r="X25" s="76"/>
      <c r="Y25" s="76">
        <v>0</v>
      </c>
      <c r="Z25" s="28">
        <f t="shared" si="2"/>
        <v>1950000</v>
      </c>
      <c r="AA25" s="154"/>
      <c r="AB25" s="154"/>
      <c r="AC25" s="154"/>
      <c r="AD25" s="155"/>
      <c r="AE25" s="154"/>
      <c r="AF25" s="154"/>
      <c r="AG25" s="154">
        <v>975000</v>
      </c>
      <c r="AH25" s="154"/>
      <c r="AI25" s="154"/>
      <c r="AJ25" s="154"/>
      <c r="AK25" s="154"/>
      <c r="AL25" s="154"/>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c r="BM25" s="95"/>
      <c r="BN25" s="95"/>
      <c r="BO25" s="95"/>
      <c r="BP25" s="44">
        <f t="shared" si="8"/>
        <v>0</v>
      </c>
      <c r="BQ25" s="44">
        <f t="shared" si="9"/>
        <v>0</v>
      </c>
      <c r="BR25" s="44">
        <f t="shared" si="10"/>
        <v>0</v>
      </c>
      <c r="BS25" s="44">
        <f t="shared" si="11"/>
        <v>0</v>
      </c>
    </row>
    <row r="26" spans="1:71" ht="120" x14ac:dyDescent="0.25">
      <c r="A26" s="79" t="s">
        <v>473</v>
      </c>
      <c r="B26" s="43" t="s">
        <v>495</v>
      </c>
      <c r="C26" s="43" t="s">
        <v>496</v>
      </c>
      <c r="D26" s="30" t="str">
        <f t="shared" si="1"/>
        <v>1.2-3.1</v>
      </c>
      <c r="E26" s="43" t="s">
        <v>497</v>
      </c>
      <c r="F26" s="191" t="s">
        <v>247</v>
      </c>
      <c r="G26" s="34" t="s">
        <v>498</v>
      </c>
      <c r="H26" s="34" t="s">
        <v>499</v>
      </c>
      <c r="I26" s="192">
        <v>45667</v>
      </c>
      <c r="J26" s="192">
        <v>46203</v>
      </c>
      <c r="K26" s="193" t="s">
        <v>451</v>
      </c>
      <c r="L26" s="194" t="s">
        <v>451</v>
      </c>
      <c r="M26" s="194" t="s">
        <v>452</v>
      </c>
      <c r="N26" s="194" t="s">
        <v>500</v>
      </c>
      <c r="O26" s="195" t="s">
        <v>454</v>
      </c>
      <c r="P26" s="195" t="s">
        <v>454</v>
      </c>
      <c r="Q26" s="30" t="s">
        <v>455</v>
      </c>
      <c r="R26" s="191" t="s">
        <v>456</v>
      </c>
      <c r="S26" s="189" t="s">
        <v>501</v>
      </c>
      <c r="T26" s="196">
        <v>14610000</v>
      </c>
      <c r="U26" s="196">
        <v>0</v>
      </c>
      <c r="V26" s="196">
        <v>14610000</v>
      </c>
      <c r="W26" s="29"/>
      <c r="X26" s="29"/>
      <c r="Y26" s="29">
        <v>23400000</v>
      </c>
      <c r="Z26" s="28">
        <f t="shared" si="2"/>
        <v>52620000</v>
      </c>
      <c r="AA26" s="27"/>
      <c r="AB26" s="27"/>
      <c r="AC26" s="27"/>
      <c r="AD26" s="27"/>
      <c r="AE26" s="27"/>
      <c r="AF26" s="27"/>
      <c r="AG26" s="27"/>
      <c r="AH26" s="27"/>
      <c r="AI26" s="27"/>
      <c r="AJ26" s="27"/>
      <c r="AK26" s="27"/>
      <c r="AL26" s="27"/>
      <c r="AM26" s="27"/>
      <c r="AN26" s="27"/>
      <c r="AO26" s="27"/>
      <c r="AP26" s="27"/>
      <c r="AQ26" s="27"/>
      <c r="AR26" s="27"/>
      <c r="AS26" s="153"/>
      <c r="AT26" s="27"/>
      <c r="AU26" s="27"/>
      <c r="AV26" s="27"/>
      <c r="AW26" s="27"/>
      <c r="AX26" s="27"/>
      <c r="AY26" s="37">
        <v>23400000</v>
      </c>
      <c r="AZ26" s="27"/>
      <c r="BA26" s="27"/>
      <c r="BB26" s="27"/>
      <c r="BC26" s="27"/>
      <c r="BD26" s="27"/>
      <c r="BE26" s="27"/>
      <c r="BF26" s="27"/>
      <c r="BG26" s="27"/>
      <c r="BH26" s="27"/>
      <c r="BI26" s="27"/>
      <c r="BJ26" s="27"/>
      <c r="BK26" s="27"/>
      <c r="BL26" s="27"/>
      <c r="BM26" s="27"/>
      <c r="BN26" s="27"/>
      <c r="BO26" s="27"/>
      <c r="BP26" s="85">
        <f t="shared" si="8"/>
        <v>14610000</v>
      </c>
      <c r="BQ26" s="85">
        <f t="shared" si="9"/>
        <v>0</v>
      </c>
      <c r="BR26" s="85">
        <f t="shared" si="10"/>
        <v>0</v>
      </c>
      <c r="BS26" s="85">
        <f t="shared" si="11"/>
        <v>0</v>
      </c>
    </row>
    <row r="27" spans="1:71" s="84" customFormat="1" ht="173.1" customHeight="1" x14ac:dyDescent="0.25">
      <c r="A27" s="36" t="s">
        <v>502</v>
      </c>
      <c r="B27" s="32" t="s">
        <v>503</v>
      </c>
      <c r="C27" s="32" t="s">
        <v>504</v>
      </c>
      <c r="D27" s="30" t="str">
        <f t="shared" si="1"/>
        <v>1.3-1.1</v>
      </c>
      <c r="E27" s="32" t="s">
        <v>51</v>
      </c>
      <c r="F27" s="30" t="s">
        <v>26</v>
      </c>
      <c r="G27" s="49" t="s">
        <v>461</v>
      </c>
      <c r="H27" s="49" t="s">
        <v>505</v>
      </c>
      <c r="I27" s="58">
        <v>45931</v>
      </c>
      <c r="J27" s="58">
        <v>46295</v>
      </c>
      <c r="K27" s="32" t="s">
        <v>506</v>
      </c>
      <c r="L27" s="32" t="s">
        <v>507</v>
      </c>
      <c r="M27" s="32" t="s">
        <v>508</v>
      </c>
      <c r="N27" s="32" t="s">
        <v>509</v>
      </c>
      <c r="O27" s="30" t="s">
        <v>510</v>
      </c>
      <c r="P27" s="41" t="s">
        <v>483</v>
      </c>
      <c r="Q27" s="30" t="s">
        <v>363</v>
      </c>
      <c r="R27" s="30" t="s">
        <v>363</v>
      </c>
      <c r="S27" s="74" t="s">
        <v>376</v>
      </c>
      <c r="T27" s="55">
        <v>0</v>
      </c>
      <c r="U27" s="55"/>
      <c r="V27" s="55">
        <v>0</v>
      </c>
      <c r="W27" s="55">
        <v>0</v>
      </c>
      <c r="X27" s="55"/>
      <c r="Y27" s="55"/>
      <c r="Z27" s="28">
        <f t="shared" si="2"/>
        <v>0</v>
      </c>
      <c r="AA27" s="95"/>
      <c r="AB27" s="95"/>
      <c r="AC27" s="95"/>
      <c r="AD27" s="95"/>
      <c r="AE27" s="95"/>
      <c r="AF27" s="95"/>
      <c r="AG27" s="95"/>
      <c r="AH27" s="95"/>
      <c r="AI27" s="95"/>
      <c r="AJ27" s="95"/>
      <c r="AK27" s="95"/>
      <c r="AL27" s="95"/>
      <c r="AM27" s="95"/>
      <c r="AN27" s="95"/>
      <c r="AO27" s="95"/>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5"/>
      <c r="BP27" s="44">
        <f t="shared" si="8"/>
        <v>0</v>
      </c>
      <c r="BQ27" s="44">
        <f t="shared" si="9"/>
        <v>0</v>
      </c>
      <c r="BR27" s="44">
        <f t="shared" si="10"/>
        <v>0</v>
      </c>
      <c r="BS27" s="44">
        <f t="shared" si="11"/>
        <v>0</v>
      </c>
    </row>
    <row r="28" spans="1:71" s="84" customFormat="1" ht="228" customHeight="1" x14ac:dyDescent="0.25">
      <c r="A28" s="36" t="s">
        <v>502</v>
      </c>
      <c r="B28" s="32" t="s">
        <v>503</v>
      </c>
      <c r="C28" s="32" t="s">
        <v>504</v>
      </c>
      <c r="D28" s="30" t="str">
        <f t="shared" si="1"/>
        <v>1.3-1.2</v>
      </c>
      <c r="E28" s="32" t="s">
        <v>511</v>
      </c>
      <c r="F28" s="30" t="s">
        <v>26</v>
      </c>
      <c r="G28" s="49" t="s">
        <v>461</v>
      </c>
      <c r="H28" s="49" t="s">
        <v>477</v>
      </c>
      <c r="I28" s="58">
        <v>45931</v>
      </c>
      <c r="J28" s="58">
        <v>46295</v>
      </c>
      <c r="K28" s="32" t="s">
        <v>512</v>
      </c>
      <c r="L28" s="32" t="s">
        <v>507</v>
      </c>
      <c r="M28" s="32" t="s">
        <v>513</v>
      </c>
      <c r="N28" s="32" t="s">
        <v>514</v>
      </c>
      <c r="O28" s="30" t="s">
        <v>515</v>
      </c>
      <c r="P28" s="41" t="s">
        <v>483</v>
      </c>
      <c r="Q28" s="30" t="s">
        <v>516</v>
      </c>
      <c r="R28" s="30" t="s">
        <v>516</v>
      </c>
      <c r="S28" s="74" t="s">
        <v>517</v>
      </c>
      <c r="T28" s="55">
        <v>4098000</v>
      </c>
      <c r="U28" s="55">
        <v>0</v>
      </c>
      <c r="V28" s="55">
        <v>4098000</v>
      </c>
      <c r="W28" s="55">
        <v>15936000</v>
      </c>
      <c r="X28" s="55"/>
      <c r="Y28" s="55"/>
      <c r="Z28" s="28">
        <f t="shared" si="2"/>
        <v>24132000</v>
      </c>
      <c r="AA28" s="95"/>
      <c r="AB28" s="95"/>
      <c r="AC28" s="95"/>
      <c r="AD28" s="95">
        <v>2049000</v>
      </c>
      <c r="AE28" s="95">
        <v>3984000</v>
      </c>
      <c r="AF28" s="95"/>
      <c r="AG28" s="95">
        <v>2049000</v>
      </c>
      <c r="AH28" s="95">
        <v>3984000</v>
      </c>
      <c r="AI28" s="95"/>
      <c r="AJ28" s="95"/>
      <c r="AK28" s="95"/>
      <c r="AL28" s="95"/>
      <c r="AM28" s="95"/>
      <c r="AN28" s="95"/>
      <c r="AO28" s="95"/>
      <c r="AP28" s="95"/>
      <c r="AQ28" s="95"/>
      <c r="AR28" s="95"/>
      <c r="AS28" s="95"/>
      <c r="AT28" s="95"/>
      <c r="AU28" s="95"/>
      <c r="AV28" s="95"/>
      <c r="AW28" s="104">
        <v>11572430</v>
      </c>
      <c r="AX28" s="95"/>
      <c r="AY28" s="95"/>
      <c r="AZ28" s="95"/>
      <c r="BA28" s="95"/>
      <c r="BB28" s="95"/>
      <c r="BC28" s="95"/>
      <c r="BD28" s="95"/>
      <c r="BE28" s="95"/>
      <c r="BF28" s="95"/>
      <c r="BG28" s="95"/>
      <c r="BH28" s="95"/>
      <c r="BI28" s="95"/>
      <c r="BJ28" s="95"/>
      <c r="BK28" s="95"/>
      <c r="BL28" s="95"/>
      <c r="BM28" s="95"/>
      <c r="BN28" s="95"/>
      <c r="BO28" s="95"/>
      <c r="BP28" s="44">
        <f t="shared" si="8"/>
        <v>0</v>
      </c>
      <c r="BQ28" s="44">
        <f t="shared" si="9"/>
        <v>0</v>
      </c>
      <c r="BR28" s="44">
        <f t="shared" si="10"/>
        <v>-3604430</v>
      </c>
      <c r="BS28" s="44">
        <f t="shared" si="11"/>
        <v>0</v>
      </c>
    </row>
    <row r="29" spans="1:71" s="84" customFormat="1" ht="173.1" customHeight="1" x14ac:dyDescent="0.25">
      <c r="A29" s="36" t="s">
        <v>502</v>
      </c>
      <c r="B29" s="32" t="s">
        <v>503</v>
      </c>
      <c r="C29" s="32" t="s">
        <v>504</v>
      </c>
      <c r="D29" s="30" t="str">
        <f t="shared" si="1"/>
        <v>1.3-1.3</v>
      </c>
      <c r="E29" s="32" t="s">
        <v>518</v>
      </c>
      <c r="F29" s="30" t="s">
        <v>26</v>
      </c>
      <c r="G29" s="49" t="s">
        <v>461</v>
      </c>
      <c r="H29" s="49" t="s">
        <v>505</v>
      </c>
      <c r="I29" s="58">
        <v>45931</v>
      </c>
      <c r="J29" s="58">
        <v>46295</v>
      </c>
      <c r="K29" s="32" t="s">
        <v>519</v>
      </c>
      <c r="L29" s="32" t="s">
        <v>507</v>
      </c>
      <c r="M29" s="32" t="s">
        <v>480</v>
      </c>
      <c r="N29" s="32" t="s">
        <v>514</v>
      </c>
      <c r="O29" s="30" t="s">
        <v>520</v>
      </c>
      <c r="P29" s="41" t="s">
        <v>483</v>
      </c>
      <c r="Q29" s="30" t="s">
        <v>363</v>
      </c>
      <c r="R29" s="30" t="s">
        <v>363</v>
      </c>
      <c r="S29" s="74" t="s">
        <v>376</v>
      </c>
      <c r="T29" s="55">
        <v>0</v>
      </c>
      <c r="U29" s="55"/>
      <c r="V29" s="55">
        <v>0</v>
      </c>
      <c r="W29" s="55">
        <v>0</v>
      </c>
      <c r="X29" s="55"/>
      <c r="Y29" s="55"/>
      <c r="Z29" s="28">
        <f t="shared" si="2"/>
        <v>0</v>
      </c>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c r="BM29" s="95"/>
      <c r="BN29" s="95"/>
      <c r="BO29" s="95"/>
      <c r="BP29" s="44">
        <f t="shared" si="8"/>
        <v>0</v>
      </c>
      <c r="BQ29" s="44">
        <f t="shared" si="9"/>
        <v>0</v>
      </c>
      <c r="BR29" s="44">
        <f t="shared" si="10"/>
        <v>0</v>
      </c>
      <c r="BS29" s="44">
        <f t="shared" si="11"/>
        <v>0</v>
      </c>
    </row>
    <row r="30" spans="1:71" s="84" customFormat="1" ht="173.1" customHeight="1" x14ac:dyDescent="0.25">
      <c r="A30" s="36" t="s">
        <v>502</v>
      </c>
      <c r="B30" s="32" t="s">
        <v>503</v>
      </c>
      <c r="C30" s="32" t="s">
        <v>504</v>
      </c>
      <c r="D30" s="30" t="str">
        <f t="shared" si="1"/>
        <v>1.3-1.4</v>
      </c>
      <c r="E30" s="32" t="s">
        <v>521</v>
      </c>
      <c r="F30" s="30" t="s">
        <v>26</v>
      </c>
      <c r="G30" s="49" t="s">
        <v>461</v>
      </c>
      <c r="H30" s="49" t="s">
        <v>505</v>
      </c>
      <c r="I30" s="58">
        <v>45931</v>
      </c>
      <c r="J30" s="58">
        <v>46295</v>
      </c>
      <c r="K30" s="32" t="s">
        <v>522</v>
      </c>
      <c r="L30" s="32" t="s">
        <v>507</v>
      </c>
      <c r="M30" s="32" t="s">
        <v>523</v>
      </c>
      <c r="N30" s="32" t="s">
        <v>514</v>
      </c>
      <c r="O30" s="30" t="s">
        <v>524</v>
      </c>
      <c r="P30" s="41" t="s">
        <v>483</v>
      </c>
      <c r="Q30" s="30" t="s">
        <v>363</v>
      </c>
      <c r="R30" s="30" t="s">
        <v>363</v>
      </c>
      <c r="S30" s="74" t="s">
        <v>376</v>
      </c>
      <c r="T30" s="55">
        <v>0</v>
      </c>
      <c r="U30" s="55"/>
      <c r="V30" s="55">
        <v>0</v>
      </c>
      <c r="W30" s="55">
        <v>0</v>
      </c>
      <c r="X30" s="55"/>
      <c r="Y30" s="55"/>
      <c r="Z30" s="28">
        <f t="shared" si="2"/>
        <v>0</v>
      </c>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44">
        <f t="shared" si="8"/>
        <v>0</v>
      </c>
      <c r="BQ30" s="44">
        <f t="shared" si="9"/>
        <v>0</v>
      </c>
      <c r="BR30" s="44">
        <f t="shared" si="10"/>
        <v>0</v>
      </c>
      <c r="BS30" s="44">
        <f t="shared" si="11"/>
        <v>0</v>
      </c>
    </row>
    <row r="31" spans="1:71" s="84" customFormat="1" ht="119.1" customHeight="1" x14ac:dyDescent="0.25">
      <c r="A31" s="36" t="s">
        <v>502</v>
      </c>
      <c r="B31" s="32" t="s">
        <v>525</v>
      </c>
      <c r="C31" s="32" t="s">
        <v>526</v>
      </c>
      <c r="D31" s="30" t="str">
        <f t="shared" si="1"/>
        <v>1.3-2.2</v>
      </c>
      <c r="E31" s="32" t="s">
        <v>527</v>
      </c>
      <c r="F31" s="30" t="s">
        <v>26</v>
      </c>
      <c r="G31" s="49" t="s">
        <v>461</v>
      </c>
      <c r="H31" s="49" t="s">
        <v>477</v>
      </c>
      <c r="I31" s="58">
        <v>45931</v>
      </c>
      <c r="J31" s="58">
        <v>46295</v>
      </c>
      <c r="K31" s="32" t="s">
        <v>528</v>
      </c>
      <c r="L31" s="32" t="s">
        <v>529</v>
      </c>
      <c r="M31" s="32" t="s">
        <v>530</v>
      </c>
      <c r="N31" s="32" t="s">
        <v>531</v>
      </c>
      <c r="O31" s="30" t="s">
        <v>532</v>
      </c>
      <c r="P31" s="41" t="s">
        <v>483</v>
      </c>
      <c r="Q31" s="30" t="s">
        <v>363</v>
      </c>
      <c r="R31" s="30" t="s">
        <v>533</v>
      </c>
      <c r="S31" s="74" t="s">
        <v>534</v>
      </c>
      <c r="T31" s="55">
        <v>10913835</v>
      </c>
      <c r="U31" s="55">
        <v>10708825</v>
      </c>
      <c r="V31" s="55">
        <v>21622660</v>
      </c>
      <c r="W31" s="55">
        <v>0</v>
      </c>
      <c r="X31" s="55">
        <v>3046482</v>
      </c>
      <c r="Y31" s="55"/>
      <c r="Z31" s="28">
        <f t="shared" si="2"/>
        <v>46291802</v>
      </c>
      <c r="AA31" s="95"/>
      <c r="AB31" s="95"/>
      <c r="AC31" s="95"/>
      <c r="AD31" s="95">
        <v>10913835</v>
      </c>
      <c r="AE31" s="95"/>
      <c r="AF31" s="95"/>
      <c r="AG31" s="95"/>
      <c r="AH31" s="95"/>
      <c r="AI31" s="95"/>
      <c r="AJ31" s="95"/>
      <c r="AK31" s="95"/>
      <c r="AL31" s="95">
        <v>10014131</v>
      </c>
      <c r="AM31" s="95"/>
      <c r="AN31" s="95"/>
      <c r="AO31" s="95"/>
      <c r="AP31" s="95"/>
      <c r="AQ31" s="95"/>
      <c r="AR31" s="95"/>
      <c r="AS31" s="95"/>
      <c r="AT31" s="95"/>
      <c r="AU31" s="95"/>
      <c r="AV31" s="95"/>
      <c r="AW31" s="95"/>
      <c r="AX31" s="95"/>
      <c r="AY31" s="95"/>
      <c r="AZ31" s="95"/>
      <c r="BA31" s="95"/>
      <c r="BB31" s="95"/>
      <c r="BC31" s="95"/>
      <c r="BD31" s="95"/>
      <c r="BE31" s="95"/>
      <c r="BF31" s="95"/>
      <c r="BG31" s="95"/>
      <c r="BH31" s="104">
        <v>10708825</v>
      </c>
      <c r="BI31" s="95"/>
      <c r="BJ31" s="104">
        <v>3046482</v>
      </c>
      <c r="BK31" s="95"/>
      <c r="BL31" s="95"/>
      <c r="BM31" s="95"/>
      <c r="BN31" s="95"/>
      <c r="BO31" s="95"/>
      <c r="BP31" s="44">
        <f t="shared" si="8"/>
        <v>0</v>
      </c>
      <c r="BQ31" s="44">
        <f t="shared" si="9"/>
        <v>0</v>
      </c>
      <c r="BR31" s="44">
        <f t="shared" si="10"/>
        <v>0</v>
      </c>
      <c r="BS31" s="44">
        <f t="shared" si="11"/>
        <v>-10014131</v>
      </c>
    </row>
    <row r="32" spans="1:71" s="84" customFormat="1" ht="119.1" customHeight="1" x14ac:dyDescent="0.25">
      <c r="A32" s="36" t="s">
        <v>502</v>
      </c>
      <c r="B32" s="32" t="s">
        <v>525</v>
      </c>
      <c r="C32" s="32" t="s">
        <v>526</v>
      </c>
      <c r="D32" s="30" t="str">
        <f t="shared" si="1"/>
        <v>1.3-2.3</v>
      </c>
      <c r="E32" s="32" t="s">
        <v>535</v>
      </c>
      <c r="F32" s="30" t="s">
        <v>26</v>
      </c>
      <c r="G32" s="49" t="s">
        <v>461</v>
      </c>
      <c r="H32" s="49" t="s">
        <v>477</v>
      </c>
      <c r="I32" s="58">
        <v>45931</v>
      </c>
      <c r="J32" s="58">
        <v>46295</v>
      </c>
      <c r="K32" s="32" t="s">
        <v>536</v>
      </c>
      <c r="L32" s="32" t="s">
        <v>529</v>
      </c>
      <c r="M32" s="32" t="s">
        <v>537</v>
      </c>
      <c r="N32" s="32" t="s">
        <v>531</v>
      </c>
      <c r="O32" s="30" t="s">
        <v>538</v>
      </c>
      <c r="P32" s="41" t="s">
        <v>483</v>
      </c>
      <c r="Q32" s="30" t="s">
        <v>363</v>
      </c>
      <c r="R32" s="30" t="s">
        <v>539</v>
      </c>
      <c r="S32" s="74" t="s">
        <v>540</v>
      </c>
      <c r="T32" s="55">
        <v>20877531</v>
      </c>
      <c r="U32" s="55">
        <v>25396449</v>
      </c>
      <c r="V32" s="55">
        <v>46273980</v>
      </c>
      <c r="W32" s="55">
        <v>0</v>
      </c>
      <c r="X32" s="55">
        <v>26096225</v>
      </c>
      <c r="Y32" s="55"/>
      <c r="Z32" s="28">
        <f t="shared" si="2"/>
        <v>118644185</v>
      </c>
      <c r="AA32" s="152"/>
      <c r="AB32" s="95"/>
      <c r="AC32" s="95"/>
      <c r="AD32" s="95">
        <v>20877531</v>
      </c>
      <c r="AE32" s="95"/>
      <c r="AF32" s="95">
        <v>6130700</v>
      </c>
      <c r="AG32" s="95"/>
      <c r="AH32" s="95"/>
      <c r="AI32" s="95">
        <v>25896399</v>
      </c>
      <c r="AJ32" s="95"/>
      <c r="AK32" s="95"/>
      <c r="AL32" s="95"/>
      <c r="AM32" s="95"/>
      <c r="AN32" s="95"/>
      <c r="AO32" s="95"/>
      <c r="AP32" s="95"/>
      <c r="AQ32" s="95"/>
      <c r="AR32" s="95"/>
      <c r="AS32" s="95"/>
      <c r="AT32" s="95"/>
      <c r="AU32" s="95"/>
      <c r="AV32" s="104">
        <v>25396449</v>
      </c>
      <c r="AW32" s="95"/>
      <c r="AX32" s="104">
        <v>23826756</v>
      </c>
      <c r="AY32" s="95"/>
      <c r="AZ32" s="95"/>
      <c r="BA32" s="95"/>
      <c r="BB32" s="95"/>
      <c r="BC32" s="95"/>
      <c r="BD32" s="95"/>
      <c r="BE32" s="95"/>
      <c r="BF32" s="95"/>
      <c r="BG32" s="95"/>
      <c r="BH32" s="95"/>
      <c r="BI32" s="95"/>
      <c r="BJ32" s="95"/>
      <c r="BK32" s="95"/>
      <c r="BL32" s="95"/>
      <c r="BM32" s="95"/>
      <c r="BN32" s="95"/>
      <c r="BO32" s="95"/>
      <c r="BP32" s="44">
        <f t="shared" si="8"/>
        <v>0</v>
      </c>
      <c r="BQ32" s="44">
        <f t="shared" si="9"/>
        <v>0</v>
      </c>
      <c r="BR32" s="44">
        <f t="shared" si="10"/>
        <v>0</v>
      </c>
      <c r="BS32" s="44">
        <f t="shared" si="11"/>
        <v>-29757630</v>
      </c>
    </row>
    <row r="33" spans="1:71" s="84" customFormat="1" ht="119.1" customHeight="1" x14ac:dyDescent="0.25">
      <c r="A33" s="36" t="s">
        <v>502</v>
      </c>
      <c r="B33" s="32" t="s">
        <v>525</v>
      </c>
      <c r="C33" s="32" t="s">
        <v>526</v>
      </c>
      <c r="D33" s="30" t="str">
        <f t="shared" si="1"/>
        <v>1.3-2.4</v>
      </c>
      <c r="E33" s="32" t="s">
        <v>541</v>
      </c>
      <c r="F33" s="30" t="s">
        <v>26</v>
      </c>
      <c r="G33" s="49" t="s">
        <v>461</v>
      </c>
      <c r="H33" s="49" t="s">
        <v>477</v>
      </c>
      <c r="I33" s="58">
        <v>45931</v>
      </c>
      <c r="J33" s="58">
        <v>46295</v>
      </c>
      <c r="K33" s="32" t="s">
        <v>542</v>
      </c>
      <c r="L33" s="32" t="s">
        <v>529</v>
      </c>
      <c r="M33" s="32" t="s">
        <v>543</v>
      </c>
      <c r="N33" s="32" t="s">
        <v>531</v>
      </c>
      <c r="O33" s="30" t="s">
        <v>544</v>
      </c>
      <c r="P33" s="41" t="s">
        <v>483</v>
      </c>
      <c r="Q33" s="30" t="s">
        <v>363</v>
      </c>
      <c r="R33" s="30" t="s">
        <v>539</v>
      </c>
      <c r="S33" s="74" t="s">
        <v>545</v>
      </c>
      <c r="T33" s="55">
        <v>21699183</v>
      </c>
      <c r="U33" s="55">
        <v>0</v>
      </c>
      <c r="V33" s="55">
        <v>21699183</v>
      </c>
      <c r="W33" s="55">
        <v>0</v>
      </c>
      <c r="X33" s="55">
        <v>40332983</v>
      </c>
      <c r="Y33" s="55">
        <v>0</v>
      </c>
      <c r="Z33" s="28">
        <f t="shared" si="2"/>
        <v>83731349</v>
      </c>
      <c r="AA33" s="95"/>
      <c r="AB33" s="95"/>
      <c r="AC33" s="95"/>
      <c r="AD33" s="95"/>
      <c r="AE33" s="95"/>
      <c r="AF33" s="95"/>
      <c r="AG33" s="95">
        <v>21699183</v>
      </c>
      <c r="AH33" s="95"/>
      <c r="AI33" s="95"/>
      <c r="AJ33" s="95"/>
      <c r="AK33" s="95"/>
      <c r="AL33" s="95"/>
      <c r="AM33" s="95"/>
      <c r="AN33" s="95"/>
      <c r="AO33" s="95"/>
      <c r="AP33" s="95"/>
      <c r="AQ33" s="95"/>
      <c r="AR33" s="95">
        <v>23878163</v>
      </c>
      <c r="AS33" s="95"/>
      <c r="AT33" s="95"/>
      <c r="AU33" s="95"/>
      <c r="AV33" s="95"/>
      <c r="AW33" s="95"/>
      <c r="AX33" s="104">
        <v>33493899</v>
      </c>
      <c r="AY33" s="95"/>
      <c r="AZ33" s="95"/>
      <c r="BA33" s="95"/>
      <c r="BB33" s="95"/>
      <c r="BC33" s="95"/>
      <c r="BD33" s="95"/>
      <c r="BE33" s="95"/>
      <c r="BF33" s="95"/>
      <c r="BG33" s="95"/>
      <c r="BH33" s="95"/>
      <c r="BI33" s="95"/>
      <c r="BJ33" s="95"/>
      <c r="BK33" s="95"/>
      <c r="BL33" s="95"/>
      <c r="BM33" s="95"/>
      <c r="BN33" s="95"/>
      <c r="BO33" s="95"/>
      <c r="BP33" s="44">
        <f t="shared" si="8"/>
        <v>0</v>
      </c>
      <c r="BQ33" s="44">
        <f t="shared" si="9"/>
        <v>0</v>
      </c>
      <c r="BR33" s="44">
        <f t="shared" si="10"/>
        <v>0</v>
      </c>
      <c r="BS33" s="44">
        <f t="shared" si="11"/>
        <v>-17039079</v>
      </c>
    </row>
    <row r="34" spans="1:71" s="84" customFormat="1" ht="119.1" customHeight="1" x14ac:dyDescent="0.25">
      <c r="A34" s="36" t="s">
        <v>502</v>
      </c>
      <c r="B34" s="32" t="s">
        <v>525</v>
      </c>
      <c r="C34" s="32" t="s">
        <v>526</v>
      </c>
      <c r="D34" s="30" t="str">
        <f t="shared" si="1"/>
        <v>1.3-2.5</v>
      </c>
      <c r="E34" s="32" t="s">
        <v>546</v>
      </c>
      <c r="F34" s="30" t="s">
        <v>26</v>
      </c>
      <c r="G34" s="49" t="s">
        <v>461</v>
      </c>
      <c r="H34" s="49" t="s">
        <v>477</v>
      </c>
      <c r="I34" s="58">
        <v>45931</v>
      </c>
      <c r="J34" s="58">
        <v>46295</v>
      </c>
      <c r="K34" s="32" t="s">
        <v>547</v>
      </c>
      <c r="L34" s="32" t="s">
        <v>529</v>
      </c>
      <c r="M34" s="32"/>
      <c r="N34" s="32" t="s">
        <v>531</v>
      </c>
      <c r="O34" s="30" t="s">
        <v>548</v>
      </c>
      <c r="P34" s="41" t="s">
        <v>483</v>
      </c>
      <c r="Q34" s="30" t="s">
        <v>363</v>
      </c>
      <c r="R34" s="30" t="s">
        <v>363</v>
      </c>
      <c r="S34" s="74" t="s">
        <v>549</v>
      </c>
      <c r="T34" s="55">
        <v>0</v>
      </c>
      <c r="U34" s="55">
        <v>0</v>
      </c>
      <c r="V34" s="55">
        <v>0</v>
      </c>
      <c r="W34" s="55">
        <v>0</v>
      </c>
      <c r="X34" s="55">
        <v>6809122</v>
      </c>
      <c r="Y34" s="55">
        <v>0</v>
      </c>
      <c r="Z34" s="28">
        <f t="shared" si="2"/>
        <v>6809122</v>
      </c>
      <c r="AA34" s="95"/>
      <c r="AB34" s="95"/>
      <c r="AC34" s="95"/>
      <c r="AD34" s="95"/>
      <c r="AE34" s="95"/>
      <c r="AF34" s="95"/>
      <c r="AG34" s="95"/>
      <c r="AH34" s="95"/>
      <c r="AI34" s="95"/>
      <c r="AJ34" s="95"/>
      <c r="AK34" s="95"/>
      <c r="AL34" s="95"/>
      <c r="AM34" s="95"/>
      <c r="AN34" s="95"/>
      <c r="AO34" s="95"/>
      <c r="AP34" s="95"/>
      <c r="AQ34" s="95"/>
      <c r="AR34" s="95">
        <v>4539415</v>
      </c>
      <c r="AS34" s="95"/>
      <c r="AT34" s="95"/>
      <c r="AU34" s="95"/>
      <c r="AV34" s="95"/>
      <c r="AW34" s="95"/>
      <c r="AX34" s="104">
        <v>6809122</v>
      </c>
      <c r="AY34" s="95"/>
      <c r="AZ34" s="95"/>
      <c r="BA34" s="95"/>
      <c r="BB34" s="95"/>
      <c r="BC34" s="95"/>
      <c r="BD34" s="95"/>
      <c r="BE34" s="95"/>
      <c r="BF34" s="95"/>
      <c r="BG34" s="95"/>
      <c r="BH34" s="95"/>
      <c r="BI34" s="95"/>
      <c r="BJ34" s="95"/>
      <c r="BK34" s="95"/>
      <c r="BL34" s="95"/>
      <c r="BM34" s="95"/>
      <c r="BN34" s="95"/>
      <c r="BO34" s="95"/>
      <c r="BP34" s="44">
        <f t="shared" si="8"/>
        <v>0</v>
      </c>
      <c r="BQ34" s="44">
        <f t="shared" si="9"/>
        <v>0</v>
      </c>
      <c r="BR34" s="44">
        <f t="shared" si="10"/>
        <v>0</v>
      </c>
      <c r="BS34" s="44">
        <f t="shared" si="11"/>
        <v>-4539415</v>
      </c>
    </row>
    <row r="35" spans="1:71" s="84" customFormat="1" ht="119.1" customHeight="1" x14ac:dyDescent="0.25">
      <c r="A35" s="36" t="s">
        <v>502</v>
      </c>
      <c r="B35" s="32" t="s">
        <v>525</v>
      </c>
      <c r="C35" s="32" t="s">
        <v>526</v>
      </c>
      <c r="D35" s="30" t="str">
        <f t="shared" ref="D35:D66" si="12">TRIM(_xlfn.TEXTBEFORE(E35,":"))</f>
        <v>1.3-2.6</v>
      </c>
      <c r="E35" s="32" t="s">
        <v>550</v>
      </c>
      <c r="F35" s="30" t="s">
        <v>26</v>
      </c>
      <c r="G35" s="49" t="s">
        <v>355</v>
      </c>
      <c r="H35" s="49" t="s">
        <v>477</v>
      </c>
      <c r="I35" s="58">
        <v>45931</v>
      </c>
      <c r="J35" s="58">
        <v>46295</v>
      </c>
      <c r="K35" s="32" t="s">
        <v>551</v>
      </c>
      <c r="L35" s="32" t="s">
        <v>529</v>
      </c>
      <c r="M35" s="32" t="s">
        <v>552</v>
      </c>
      <c r="N35" s="32" t="s">
        <v>531</v>
      </c>
      <c r="O35" s="30" t="s">
        <v>553</v>
      </c>
      <c r="P35" s="41" t="s">
        <v>483</v>
      </c>
      <c r="Q35" s="30" t="s">
        <v>363</v>
      </c>
      <c r="R35" s="30" t="s">
        <v>415</v>
      </c>
      <c r="S35" s="74" t="s">
        <v>376</v>
      </c>
      <c r="T35" s="55">
        <v>0</v>
      </c>
      <c r="U35" s="55"/>
      <c r="V35" s="55">
        <v>0</v>
      </c>
      <c r="W35" s="55">
        <v>0</v>
      </c>
      <c r="X35" s="55"/>
      <c r="Y35" s="55">
        <v>0</v>
      </c>
      <c r="Z35" s="28">
        <f t="shared" ref="Z35:Z66" si="13">SUM(T35:Y35)</f>
        <v>0</v>
      </c>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95"/>
      <c r="BN35" s="95"/>
      <c r="BO35" s="95"/>
      <c r="BP35" s="44">
        <f t="shared" si="8"/>
        <v>0</v>
      </c>
      <c r="BQ35" s="44">
        <f t="shared" si="9"/>
        <v>0</v>
      </c>
      <c r="BR35" s="44">
        <f t="shared" si="10"/>
        <v>0</v>
      </c>
      <c r="BS35" s="44">
        <f t="shared" si="11"/>
        <v>0</v>
      </c>
    </row>
    <row r="36" spans="1:71" s="84" customFormat="1" ht="119.1" customHeight="1" x14ac:dyDescent="0.25">
      <c r="A36" s="36" t="s">
        <v>502</v>
      </c>
      <c r="B36" s="32" t="s">
        <v>525</v>
      </c>
      <c r="C36" s="32" t="s">
        <v>526</v>
      </c>
      <c r="D36" s="30" t="str">
        <f t="shared" si="12"/>
        <v>1.3-2.7</v>
      </c>
      <c r="E36" s="32" t="s">
        <v>554</v>
      </c>
      <c r="F36" s="30" t="s">
        <v>26</v>
      </c>
      <c r="G36" s="49" t="s">
        <v>461</v>
      </c>
      <c r="H36" s="49" t="s">
        <v>477</v>
      </c>
      <c r="I36" s="58">
        <v>45931</v>
      </c>
      <c r="J36" s="58">
        <v>46295</v>
      </c>
      <c r="K36" s="32" t="s">
        <v>555</v>
      </c>
      <c r="L36" s="32" t="s">
        <v>529</v>
      </c>
      <c r="M36" s="32"/>
      <c r="N36" s="32" t="s">
        <v>531</v>
      </c>
      <c r="O36" s="30" t="s">
        <v>556</v>
      </c>
      <c r="P36" s="41" t="s">
        <v>483</v>
      </c>
      <c r="Q36" s="30" t="s">
        <v>363</v>
      </c>
      <c r="R36" s="30" t="s">
        <v>363</v>
      </c>
      <c r="S36" s="74" t="s">
        <v>557</v>
      </c>
      <c r="T36" s="55">
        <v>0</v>
      </c>
      <c r="U36" s="55">
        <v>0</v>
      </c>
      <c r="V36" s="55">
        <v>0</v>
      </c>
      <c r="W36" s="55">
        <v>0</v>
      </c>
      <c r="X36" s="55">
        <v>4626958</v>
      </c>
      <c r="Y36" s="55">
        <v>0</v>
      </c>
      <c r="Z36" s="28">
        <f t="shared" si="13"/>
        <v>4626958</v>
      </c>
      <c r="AA36" s="95"/>
      <c r="AB36" s="95"/>
      <c r="AC36" s="95"/>
      <c r="AD36" s="95"/>
      <c r="AE36" s="95"/>
      <c r="AF36" s="95"/>
      <c r="AG36" s="95"/>
      <c r="AH36" s="95"/>
      <c r="AI36" s="95">
        <v>4626958</v>
      </c>
      <c r="AJ36" s="95"/>
      <c r="AK36" s="95"/>
      <c r="AL36" s="95"/>
      <c r="AM36" s="95"/>
      <c r="AN36" s="95"/>
      <c r="AO36" s="95"/>
      <c r="AP36" s="95"/>
      <c r="AQ36" s="95"/>
      <c r="AR36" s="95"/>
      <c r="AS36" s="95"/>
      <c r="AT36" s="95"/>
      <c r="AU36" s="95"/>
      <c r="AV36" s="95"/>
      <c r="AW36" s="95"/>
      <c r="AX36" s="104">
        <v>4626958</v>
      </c>
      <c r="AY36" s="95"/>
      <c r="AZ36" s="95"/>
      <c r="BA36" s="95"/>
      <c r="BB36" s="95"/>
      <c r="BC36" s="95"/>
      <c r="BD36" s="95"/>
      <c r="BE36" s="95"/>
      <c r="BF36" s="95"/>
      <c r="BG36" s="95"/>
      <c r="BH36" s="95"/>
      <c r="BI36" s="95"/>
      <c r="BJ36" s="95"/>
      <c r="BK36" s="95"/>
      <c r="BL36" s="95"/>
      <c r="BM36" s="95"/>
      <c r="BN36" s="95"/>
      <c r="BO36" s="95"/>
      <c r="BP36" s="44">
        <f t="shared" si="8"/>
        <v>0</v>
      </c>
      <c r="BQ36" s="44">
        <f t="shared" si="9"/>
        <v>0</v>
      </c>
      <c r="BR36" s="44">
        <f t="shared" si="10"/>
        <v>0</v>
      </c>
      <c r="BS36" s="44">
        <f t="shared" si="11"/>
        <v>-4626958</v>
      </c>
    </row>
    <row r="37" spans="1:71" s="84" customFormat="1" ht="119.1" customHeight="1" x14ac:dyDescent="0.25">
      <c r="A37" s="36" t="s">
        <v>502</v>
      </c>
      <c r="B37" s="32" t="s">
        <v>525</v>
      </c>
      <c r="C37" s="32" t="s">
        <v>526</v>
      </c>
      <c r="D37" s="30" t="str">
        <f t="shared" si="12"/>
        <v>1.3-2.8</v>
      </c>
      <c r="E37" s="32" t="s">
        <v>558</v>
      </c>
      <c r="F37" s="30" t="s">
        <v>26</v>
      </c>
      <c r="G37" s="49" t="s">
        <v>355</v>
      </c>
      <c r="H37" s="49" t="s">
        <v>419</v>
      </c>
      <c r="I37" s="58">
        <v>45931</v>
      </c>
      <c r="J37" s="58">
        <v>46295</v>
      </c>
      <c r="K37" s="32" t="s">
        <v>551</v>
      </c>
      <c r="L37" s="32" t="s">
        <v>529</v>
      </c>
      <c r="M37" s="32" t="s">
        <v>552</v>
      </c>
      <c r="N37" s="32" t="s">
        <v>531</v>
      </c>
      <c r="O37" s="30" t="s">
        <v>553</v>
      </c>
      <c r="P37" s="41" t="s">
        <v>483</v>
      </c>
      <c r="Q37" s="30" t="s">
        <v>363</v>
      </c>
      <c r="R37" s="30" t="s">
        <v>466</v>
      </c>
      <c r="S37" s="74" t="s">
        <v>376</v>
      </c>
      <c r="T37" s="55">
        <v>0</v>
      </c>
      <c r="U37" s="55"/>
      <c r="V37" s="55">
        <v>0</v>
      </c>
      <c r="W37" s="55">
        <v>0</v>
      </c>
      <c r="X37" s="55">
        <v>0</v>
      </c>
      <c r="Y37" s="55">
        <v>0</v>
      </c>
      <c r="Z37" s="28">
        <f t="shared" si="13"/>
        <v>0</v>
      </c>
      <c r="AA37" s="95"/>
      <c r="AB37" s="95"/>
      <c r="AC37" s="95"/>
      <c r="AD37" s="95"/>
      <c r="AE37" s="95"/>
      <c r="AF37" s="95">
        <v>1046600</v>
      </c>
      <c r="AG37" s="95"/>
      <c r="AH37" s="95"/>
      <c r="AI37" s="95">
        <v>1046600</v>
      </c>
      <c r="AJ37" s="95"/>
      <c r="AK37" s="95"/>
      <c r="AL37" s="95"/>
      <c r="AM37" s="95"/>
      <c r="AN37" s="95"/>
      <c r="AO37" s="95"/>
      <c r="AP37" s="95"/>
      <c r="AQ37" s="95"/>
      <c r="AR37" s="95">
        <v>1046600</v>
      </c>
      <c r="AS37" s="95"/>
      <c r="AT37" s="95"/>
      <c r="AU37" s="95"/>
      <c r="AV37" s="95"/>
      <c r="AW37" s="95"/>
      <c r="AX37" s="95"/>
      <c r="AY37" s="95"/>
      <c r="AZ37" s="95"/>
      <c r="BA37" s="95"/>
      <c r="BB37" s="95"/>
      <c r="BC37" s="95"/>
      <c r="BD37" s="95"/>
      <c r="BE37" s="95"/>
      <c r="BF37" s="95"/>
      <c r="BG37" s="95"/>
      <c r="BH37" s="95"/>
      <c r="BI37" s="95"/>
      <c r="BJ37" s="95"/>
      <c r="BK37" s="95"/>
      <c r="BL37" s="95"/>
      <c r="BM37" s="95"/>
      <c r="BN37" s="95"/>
      <c r="BO37" s="95"/>
      <c r="BP37" s="44">
        <f t="shared" si="8"/>
        <v>0</v>
      </c>
      <c r="BQ37" s="44">
        <f t="shared" si="9"/>
        <v>0</v>
      </c>
      <c r="BR37" s="44">
        <f t="shared" si="10"/>
        <v>0</v>
      </c>
      <c r="BS37" s="44">
        <f t="shared" si="11"/>
        <v>-3139800</v>
      </c>
    </row>
    <row r="38" spans="1:71" s="84" customFormat="1" ht="119.1" customHeight="1" x14ac:dyDescent="0.25">
      <c r="A38" s="36" t="s">
        <v>502</v>
      </c>
      <c r="B38" s="32" t="s">
        <v>525</v>
      </c>
      <c r="C38" s="32" t="s">
        <v>526</v>
      </c>
      <c r="D38" s="30" t="str">
        <f t="shared" si="12"/>
        <v>1.3-2.9</v>
      </c>
      <c r="E38" s="32" t="s">
        <v>559</v>
      </c>
      <c r="F38" s="30" t="s">
        <v>26</v>
      </c>
      <c r="G38" s="49" t="s">
        <v>461</v>
      </c>
      <c r="H38" s="49" t="s">
        <v>355</v>
      </c>
      <c r="I38" s="58">
        <v>45931</v>
      </c>
      <c r="J38" s="58">
        <v>46295</v>
      </c>
      <c r="K38" s="32" t="s">
        <v>560</v>
      </c>
      <c r="L38" s="32" t="s">
        <v>529</v>
      </c>
      <c r="M38" s="32"/>
      <c r="N38" s="32" t="s">
        <v>531</v>
      </c>
      <c r="O38" s="30" t="s">
        <v>561</v>
      </c>
      <c r="P38" s="41" t="s">
        <v>483</v>
      </c>
      <c r="Q38" s="30" t="s">
        <v>363</v>
      </c>
      <c r="R38" s="30" t="s">
        <v>466</v>
      </c>
      <c r="S38" s="30" t="s">
        <v>562</v>
      </c>
      <c r="T38" s="55"/>
      <c r="U38" s="55"/>
      <c r="V38" s="55">
        <v>0</v>
      </c>
      <c r="W38" s="55"/>
      <c r="X38" s="55"/>
      <c r="Y38" s="55">
        <v>29505554</v>
      </c>
      <c r="Z38" s="28">
        <f t="shared" si="13"/>
        <v>29505554</v>
      </c>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104">
        <v>29505554</v>
      </c>
      <c r="BD38" s="95"/>
      <c r="BE38" s="95"/>
      <c r="BF38" s="95"/>
      <c r="BG38" s="95"/>
      <c r="BH38" s="95"/>
      <c r="BI38" s="95"/>
      <c r="BJ38" s="95"/>
      <c r="BK38" s="95"/>
      <c r="BL38" s="95"/>
      <c r="BM38" s="95"/>
      <c r="BN38" s="95"/>
      <c r="BO38" s="95"/>
      <c r="BP38" s="44"/>
      <c r="BQ38" s="44"/>
      <c r="BR38" s="44"/>
      <c r="BS38" s="44"/>
    </row>
    <row r="39" spans="1:71" s="84" customFormat="1" ht="138.6" customHeight="1" x14ac:dyDescent="0.25">
      <c r="A39" s="36" t="s">
        <v>563</v>
      </c>
      <c r="B39" s="32" t="s">
        <v>564</v>
      </c>
      <c r="C39" s="32" t="s">
        <v>565</v>
      </c>
      <c r="D39" s="30" t="str">
        <f t="shared" si="12"/>
        <v>1.4-1.1</v>
      </c>
      <c r="E39" s="32" t="s">
        <v>566</v>
      </c>
      <c r="F39" s="30" t="s">
        <v>26</v>
      </c>
      <c r="G39" s="49" t="s">
        <v>355</v>
      </c>
      <c r="H39" s="49" t="s">
        <v>379</v>
      </c>
      <c r="I39" s="58">
        <v>45931</v>
      </c>
      <c r="J39" s="58">
        <v>46295</v>
      </c>
      <c r="K39" s="32" t="s">
        <v>567</v>
      </c>
      <c r="L39" s="32" t="s">
        <v>568</v>
      </c>
      <c r="M39" s="32"/>
      <c r="N39" s="32" t="s">
        <v>569</v>
      </c>
      <c r="O39" s="30" t="s">
        <v>445</v>
      </c>
      <c r="P39" s="41" t="s">
        <v>483</v>
      </c>
      <c r="Q39" s="30" t="s">
        <v>363</v>
      </c>
      <c r="R39" s="30" t="s">
        <v>363</v>
      </c>
      <c r="S39" s="74" t="s">
        <v>570</v>
      </c>
      <c r="T39" s="55">
        <v>0</v>
      </c>
      <c r="U39" s="55">
        <v>0</v>
      </c>
      <c r="V39" s="55">
        <v>0</v>
      </c>
      <c r="W39" s="55">
        <v>33106606</v>
      </c>
      <c r="X39" s="55"/>
      <c r="Y39" s="55">
        <v>0</v>
      </c>
      <c r="Z39" s="28">
        <f t="shared" si="13"/>
        <v>33106606</v>
      </c>
      <c r="AA39" s="95"/>
      <c r="AB39" s="95"/>
      <c r="AC39" s="95"/>
      <c r="AD39" s="95"/>
      <c r="AE39" s="95">
        <v>32774682</v>
      </c>
      <c r="AF39" s="95"/>
      <c r="AG39" s="95"/>
      <c r="AH39" s="95"/>
      <c r="AI39" s="95"/>
      <c r="AJ39" s="95"/>
      <c r="AK39" s="95"/>
      <c r="AL39" s="95"/>
      <c r="AM39" s="95"/>
      <c r="AN39" s="95"/>
      <c r="AO39" s="95"/>
      <c r="AP39" s="95"/>
      <c r="AQ39" s="95"/>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44">
        <f t="shared" ref="BP39:BP55" si="14">T39-SUM(AA39,AD39,AG39,AJ39,AM39,AP39)</f>
        <v>0</v>
      </c>
      <c r="BQ39" s="44">
        <f t="shared" ref="BQ39:BQ55" si="15">U39-SUM(AS39,AV39,AZ39,BD39,BH39,BL39)</f>
        <v>0</v>
      </c>
      <c r="BR39" s="44">
        <f t="shared" ref="BR39:BR55" si="16">W39-SUM(AB39,AE39,AH39,AK39,AN39,AQ39,AT39,AW39,BA39,BE39,BI39,BM39)</f>
        <v>331924</v>
      </c>
      <c r="BS39" s="44">
        <f t="shared" ref="BS39:BS55" si="17">X39-SUM(AC39,AF39,AI39,AL39,AO39,AR39,AU39,AX39,BB39,BF39,BJ39,BN39)</f>
        <v>0</v>
      </c>
    </row>
    <row r="40" spans="1:71" s="84" customFormat="1" ht="138.6" customHeight="1" x14ac:dyDescent="0.25">
      <c r="A40" s="36" t="s">
        <v>563</v>
      </c>
      <c r="B40" s="32" t="s">
        <v>564</v>
      </c>
      <c r="C40" s="32" t="s">
        <v>565</v>
      </c>
      <c r="D40" s="30" t="str">
        <f t="shared" si="12"/>
        <v>1.4-1.2</v>
      </c>
      <c r="E40" s="32" t="s">
        <v>571</v>
      </c>
      <c r="F40" s="30" t="s">
        <v>26</v>
      </c>
      <c r="G40" s="49" t="s">
        <v>572</v>
      </c>
      <c r="H40" s="49" t="s">
        <v>477</v>
      </c>
      <c r="I40" s="58">
        <v>45931</v>
      </c>
      <c r="J40" s="58">
        <v>46295</v>
      </c>
      <c r="K40" s="32" t="s">
        <v>573</v>
      </c>
      <c r="L40" s="32" t="s">
        <v>568</v>
      </c>
      <c r="M40" s="32"/>
      <c r="N40" s="32" t="s">
        <v>569</v>
      </c>
      <c r="O40" s="30" t="s">
        <v>445</v>
      </c>
      <c r="P40" s="41" t="s">
        <v>483</v>
      </c>
      <c r="Q40" s="30" t="s">
        <v>363</v>
      </c>
      <c r="R40" s="30" t="s">
        <v>363</v>
      </c>
      <c r="S40" s="74" t="s">
        <v>574</v>
      </c>
      <c r="T40" s="55">
        <v>0</v>
      </c>
      <c r="U40" s="55">
        <v>0</v>
      </c>
      <c r="V40" s="55">
        <v>0</v>
      </c>
      <c r="W40" s="55">
        <v>4711800</v>
      </c>
      <c r="X40" s="55"/>
      <c r="Y40" s="55">
        <v>0</v>
      </c>
      <c r="Z40" s="28">
        <f t="shared" si="13"/>
        <v>4711800</v>
      </c>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104">
        <v>4711800</v>
      </c>
      <c r="BB40" s="95"/>
      <c r="BC40" s="95"/>
      <c r="BD40" s="95"/>
      <c r="BE40" s="95"/>
      <c r="BF40" s="95"/>
      <c r="BG40" s="95"/>
      <c r="BH40" s="95"/>
      <c r="BI40" s="95"/>
      <c r="BJ40" s="95"/>
      <c r="BK40" s="95"/>
      <c r="BL40" s="95"/>
      <c r="BM40" s="95"/>
      <c r="BN40" s="95"/>
      <c r="BO40" s="95"/>
      <c r="BP40" s="44">
        <f t="shared" si="14"/>
        <v>0</v>
      </c>
      <c r="BQ40" s="44">
        <f t="shared" si="15"/>
        <v>0</v>
      </c>
      <c r="BR40" s="44">
        <f t="shared" si="16"/>
        <v>0</v>
      </c>
      <c r="BS40" s="44">
        <f t="shared" si="17"/>
        <v>0</v>
      </c>
    </row>
    <row r="41" spans="1:71" s="84" customFormat="1" ht="138.6" customHeight="1" x14ac:dyDescent="0.25">
      <c r="A41" s="36" t="s">
        <v>563</v>
      </c>
      <c r="B41" s="32" t="s">
        <v>564</v>
      </c>
      <c r="C41" s="32" t="s">
        <v>565</v>
      </c>
      <c r="D41" s="30" t="str">
        <f t="shared" si="12"/>
        <v>1.4-1.3</v>
      </c>
      <c r="E41" s="32" t="s">
        <v>575</v>
      </c>
      <c r="F41" s="30" t="s">
        <v>26</v>
      </c>
      <c r="G41" s="49" t="s">
        <v>461</v>
      </c>
      <c r="H41" s="49" t="s">
        <v>477</v>
      </c>
      <c r="I41" s="58">
        <v>45931</v>
      </c>
      <c r="J41" s="58">
        <v>46295</v>
      </c>
      <c r="K41" s="32" t="s">
        <v>576</v>
      </c>
      <c r="L41" s="32" t="s">
        <v>568</v>
      </c>
      <c r="M41" s="32"/>
      <c r="N41" s="32" t="s">
        <v>569</v>
      </c>
      <c r="O41" s="30" t="s">
        <v>577</v>
      </c>
      <c r="P41" s="41" t="s">
        <v>483</v>
      </c>
      <c r="Q41" s="30" t="s">
        <v>363</v>
      </c>
      <c r="R41" s="30" t="s">
        <v>539</v>
      </c>
      <c r="S41" s="74" t="s">
        <v>578</v>
      </c>
      <c r="T41" s="55">
        <v>0</v>
      </c>
      <c r="U41" s="55">
        <v>0</v>
      </c>
      <c r="V41" s="55">
        <v>0</v>
      </c>
      <c r="W41" s="55">
        <v>24453817</v>
      </c>
      <c r="X41" s="55"/>
      <c r="Y41" s="55">
        <v>0</v>
      </c>
      <c r="Z41" s="28">
        <f t="shared" si="13"/>
        <v>24453817</v>
      </c>
      <c r="AA41" s="95"/>
      <c r="AB41" s="95"/>
      <c r="AC41" s="95"/>
      <c r="AD41" s="95"/>
      <c r="AE41" s="95"/>
      <c r="AF41" s="95"/>
      <c r="AG41" s="95"/>
      <c r="AH41" s="95">
        <v>12226909</v>
      </c>
      <c r="AI41" s="95"/>
      <c r="AJ41" s="95"/>
      <c r="AK41" s="95"/>
      <c r="AL41" s="95"/>
      <c r="AM41" s="95"/>
      <c r="AN41" s="95"/>
      <c r="AO41" s="95"/>
      <c r="AP41" s="95"/>
      <c r="AQ41" s="95"/>
      <c r="AR41" s="95"/>
      <c r="AS41" s="95"/>
      <c r="AT41" s="95"/>
      <c r="AU41" s="95"/>
      <c r="AV41" s="95"/>
      <c r="AW41" s="104">
        <v>22738693</v>
      </c>
      <c r="AX41" s="95"/>
      <c r="AY41" s="95"/>
      <c r="AZ41" s="95"/>
      <c r="BA41" s="95"/>
      <c r="BB41" s="95"/>
      <c r="BC41" s="95"/>
      <c r="BD41" s="95"/>
      <c r="BE41" s="95"/>
      <c r="BF41" s="95"/>
      <c r="BG41" s="95"/>
      <c r="BH41" s="95"/>
      <c r="BI41" s="95"/>
      <c r="BJ41" s="95"/>
      <c r="BK41" s="95"/>
      <c r="BL41" s="95"/>
      <c r="BM41" s="95"/>
      <c r="BN41" s="95"/>
      <c r="BO41" s="95"/>
      <c r="BP41" s="44">
        <f t="shared" si="14"/>
        <v>0</v>
      </c>
      <c r="BQ41" s="44">
        <f t="shared" si="15"/>
        <v>0</v>
      </c>
      <c r="BR41" s="44">
        <f t="shared" si="16"/>
        <v>-10511785</v>
      </c>
      <c r="BS41" s="44">
        <f t="shared" si="17"/>
        <v>0</v>
      </c>
    </row>
    <row r="42" spans="1:71" s="84" customFormat="1" ht="138.6" customHeight="1" x14ac:dyDescent="0.25">
      <c r="A42" s="36" t="s">
        <v>563</v>
      </c>
      <c r="B42" s="32" t="s">
        <v>564</v>
      </c>
      <c r="C42" s="32" t="s">
        <v>565</v>
      </c>
      <c r="D42" s="30" t="str">
        <f t="shared" si="12"/>
        <v>1.4-1.4</v>
      </c>
      <c r="E42" s="32" t="s">
        <v>579</v>
      </c>
      <c r="F42" s="30" t="s">
        <v>26</v>
      </c>
      <c r="G42" s="49" t="s">
        <v>461</v>
      </c>
      <c r="H42" s="49" t="s">
        <v>477</v>
      </c>
      <c r="I42" s="58">
        <v>45931</v>
      </c>
      <c r="J42" s="58">
        <v>46295</v>
      </c>
      <c r="K42" s="32" t="s">
        <v>580</v>
      </c>
      <c r="L42" s="32" t="s">
        <v>568</v>
      </c>
      <c r="M42" s="32" t="s">
        <v>581</v>
      </c>
      <c r="N42" s="32" t="s">
        <v>569</v>
      </c>
      <c r="O42" s="30" t="s">
        <v>582</v>
      </c>
      <c r="P42" s="41" t="s">
        <v>483</v>
      </c>
      <c r="Q42" s="30" t="s">
        <v>363</v>
      </c>
      <c r="R42" s="30" t="s">
        <v>363</v>
      </c>
      <c r="S42" s="74" t="s">
        <v>376</v>
      </c>
      <c r="T42" s="55">
        <v>0</v>
      </c>
      <c r="U42" s="55"/>
      <c r="V42" s="55">
        <v>0</v>
      </c>
      <c r="W42" s="55">
        <v>0</v>
      </c>
      <c r="X42" s="55"/>
      <c r="Y42" s="55">
        <v>0</v>
      </c>
      <c r="Z42" s="28">
        <f t="shared" si="13"/>
        <v>0</v>
      </c>
      <c r="AA42" s="95"/>
      <c r="AB42" s="95"/>
      <c r="AC42" s="95"/>
      <c r="AD42" s="95"/>
      <c r="AE42" s="95"/>
      <c r="AF42" s="95"/>
      <c r="AG42" s="95"/>
      <c r="AH42" s="95"/>
      <c r="AI42" s="95"/>
      <c r="AJ42" s="95"/>
      <c r="AK42" s="95"/>
      <c r="AL42" s="95"/>
      <c r="AM42" s="95"/>
      <c r="AN42" s="95"/>
      <c r="AO42" s="95"/>
      <c r="AP42" s="95"/>
      <c r="AQ42" s="95"/>
      <c r="AR42" s="95"/>
      <c r="AS42" s="95"/>
      <c r="AT42" s="95"/>
      <c r="AU42" s="95"/>
      <c r="AV42" s="95"/>
      <c r="AW42" s="95"/>
      <c r="AX42" s="95"/>
      <c r="AY42" s="95"/>
      <c r="AZ42" s="95"/>
      <c r="BA42" s="95"/>
      <c r="BB42" s="95"/>
      <c r="BC42" s="95"/>
      <c r="BD42" s="95"/>
      <c r="BE42" s="95"/>
      <c r="BF42" s="95"/>
      <c r="BG42" s="95"/>
      <c r="BH42" s="95"/>
      <c r="BI42" s="95"/>
      <c r="BJ42" s="95"/>
      <c r="BK42" s="95"/>
      <c r="BL42" s="95"/>
      <c r="BM42" s="95"/>
      <c r="BN42" s="95"/>
      <c r="BO42" s="95"/>
      <c r="BP42" s="44">
        <f t="shared" si="14"/>
        <v>0</v>
      </c>
      <c r="BQ42" s="44">
        <f t="shared" si="15"/>
        <v>0</v>
      </c>
      <c r="BR42" s="44">
        <f t="shared" si="16"/>
        <v>0</v>
      </c>
      <c r="BS42" s="44">
        <f t="shared" si="17"/>
        <v>0</v>
      </c>
    </row>
    <row r="43" spans="1:71" s="84" customFormat="1" ht="165" customHeight="1" x14ac:dyDescent="0.25">
      <c r="A43" s="36" t="s">
        <v>583</v>
      </c>
      <c r="B43" s="32" t="s">
        <v>584</v>
      </c>
      <c r="C43" s="32" t="s">
        <v>585</v>
      </c>
      <c r="D43" s="30" t="str">
        <f t="shared" si="12"/>
        <v>1.5-1.1</v>
      </c>
      <c r="E43" s="32" t="s">
        <v>586</v>
      </c>
      <c r="F43" s="30" t="s">
        <v>26</v>
      </c>
      <c r="G43" s="49" t="s">
        <v>461</v>
      </c>
      <c r="H43" s="49" t="s">
        <v>477</v>
      </c>
      <c r="I43" s="58">
        <v>45931</v>
      </c>
      <c r="J43" s="58">
        <v>46295</v>
      </c>
      <c r="K43" s="32" t="s">
        <v>587</v>
      </c>
      <c r="L43" s="32" t="s">
        <v>588</v>
      </c>
      <c r="M43" s="32" t="s">
        <v>589</v>
      </c>
      <c r="N43" s="32" t="s">
        <v>590</v>
      </c>
      <c r="O43" s="30" t="s">
        <v>591</v>
      </c>
      <c r="P43" s="41" t="s">
        <v>483</v>
      </c>
      <c r="Q43" s="30" t="s">
        <v>363</v>
      </c>
      <c r="R43" s="30" t="s">
        <v>415</v>
      </c>
      <c r="S43" s="74" t="s">
        <v>376</v>
      </c>
      <c r="T43" s="55">
        <v>0</v>
      </c>
      <c r="U43" s="55"/>
      <c r="V43" s="55">
        <v>0</v>
      </c>
      <c r="W43" s="55">
        <v>0</v>
      </c>
      <c r="X43" s="55"/>
      <c r="Y43" s="55">
        <v>0</v>
      </c>
      <c r="Z43" s="28">
        <f t="shared" si="13"/>
        <v>0</v>
      </c>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5"/>
      <c r="BD43" s="95"/>
      <c r="BE43" s="95"/>
      <c r="BF43" s="95"/>
      <c r="BG43" s="95"/>
      <c r="BH43" s="95"/>
      <c r="BI43" s="95"/>
      <c r="BJ43" s="95"/>
      <c r="BK43" s="95"/>
      <c r="BL43" s="95"/>
      <c r="BM43" s="95"/>
      <c r="BN43" s="95"/>
      <c r="BO43" s="95"/>
      <c r="BP43" s="44">
        <f t="shared" si="14"/>
        <v>0</v>
      </c>
      <c r="BQ43" s="44">
        <f t="shared" si="15"/>
        <v>0</v>
      </c>
      <c r="BR43" s="44">
        <f t="shared" si="16"/>
        <v>0</v>
      </c>
      <c r="BS43" s="44">
        <f t="shared" si="17"/>
        <v>0</v>
      </c>
    </row>
    <row r="44" spans="1:71" s="84" customFormat="1" ht="182.1" customHeight="1" x14ac:dyDescent="0.25">
      <c r="A44" s="36" t="s">
        <v>592</v>
      </c>
      <c r="B44" s="32" t="s">
        <v>593</v>
      </c>
      <c r="C44" s="32" t="s">
        <v>594</v>
      </c>
      <c r="D44" s="30" t="str">
        <f t="shared" si="12"/>
        <v>1.7-1.1</v>
      </c>
      <c r="E44" s="32" t="s">
        <v>595</v>
      </c>
      <c r="F44" s="30" t="s">
        <v>26</v>
      </c>
      <c r="G44" s="49" t="s">
        <v>355</v>
      </c>
      <c r="H44" s="49" t="s">
        <v>356</v>
      </c>
      <c r="I44" s="58">
        <v>45931</v>
      </c>
      <c r="J44" s="58">
        <v>46295</v>
      </c>
      <c r="K44" s="32" t="s">
        <v>596</v>
      </c>
      <c r="L44" s="32" t="s">
        <v>597</v>
      </c>
      <c r="M44" s="32" t="s">
        <v>598</v>
      </c>
      <c r="N44" s="32" t="s">
        <v>599</v>
      </c>
      <c r="O44" s="30" t="s">
        <v>482</v>
      </c>
      <c r="P44" s="41" t="s">
        <v>483</v>
      </c>
      <c r="Q44" s="30" t="s">
        <v>363</v>
      </c>
      <c r="R44" s="30" t="s">
        <v>415</v>
      </c>
      <c r="S44" s="74" t="s">
        <v>376</v>
      </c>
      <c r="T44" s="55">
        <v>0</v>
      </c>
      <c r="U44" s="55"/>
      <c r="V44" s="55">
        <v>0</v>
      </c>
      <c r="W44" s="55">
        <v>0</v>
      </c>
      <c r="X44" s="55"/>
      <c r="Y44" s="55">
        <v>0</v>
      </c>
      <c r="Z44" s="28">
        <f t="shared" si="13"/>
        <v>0</v>
      </c>
      <c r="AA44" s="95"/>
      <c r="AB44" s="95"/>
      <c r="AC44" s="95"/>
      <c r="AD44" s="95"/>
      <c r="AE44" s="95"/>
      <c r="AF44" s="95"/>
      <c r="AG44" s="95"/>
      <c r="AH44" s="95"/>
      <c r="AI44" s="95"/>
      <c r="AJ44" s="95"/>
      <c r="AK44" s="95"/>
      <c r="AL44" s="95"/>
      <c r="AM44" s="95"/>
      <c r="AN44" s="95"/>
      <c r="AO44" s="95"/>
      <c r="AP44" s="95"/>
      <c r="AQ44" s="95"/>
      <c r="AR44" s="95"/>
      <c r="AS44" s="95"/>
      <c r="AT44" s="95"/>
      <c r="AU44" s="95"/>
      <c r="AV44" s="95"/>
      <c r="AW44" s="95"/>
      <c r="AX44" s="95"/>
      <c r="AY44" s="95"/>
      <c r="AZ44" s="95"/>
      <c r="BA44" s="95"/>
      <c r="BB44" s="95"/>
      <c r="BC44" s="95"/>
      <c r="BD44" s="95"/>
      <c r="BE44" s="95"/>
      <c r="BF44" s="95"/>
      <c r="BG44" s="95"/>
      <c r="BH44" s="95"/>
      <c r="BI44" s="95"/>
      <c r="BJ44" s="95"/>
      <c r="BK44" s="95"/>
      <c r="BL44" s="95"/>
      <c r="BM44" s="95"/>
      <c r="BN44" s="95"/>
      <c r="BO44" s="95"/>
      <c r="BP44" s="44">
        <f t="shared" si="14"/>
        <v>0</v>
      </c>
      <c r="BQ44" s="44">
        <f t="shared" si="15"/>
        <v>0</v>
      </c>
      <c r="BR44" s="44">
        <f t="shared" si="16"/>
        <v>0</v>
      </c>
      <c r="BS44" s="44">
        <f t="shared" si="17"/>
        <v>0</v>
      </c>
    </row>
    <row r="45" spans="1:71" s="84" customFormat="1" ht="182.1" customHeight="1" x14ac:dyDescent="0.25">
      <c r="A45" s="36" t="s">
        <v>592</v>
      </c>
      <c r="B45" s="32" t="s">
        <v>593</v>
      </c>
      <c r="C45" s="32" t="s">
        <v>594</v>
      </c>
      <c r="D45" s="30" t="str">
        <f t="shared" si="12"/>
        <v>1.7-1.2</v>
      </c>
      <c r="E45" s="32" t="s">
        <v>600</v>
      </c>
      <c r="F45" s="30" t="s">
        <v>26</v>
      </c>
      <c r="G45" s="49" t="s">
        <v>355</v>
      </c>
      <c r="H45" s="49" t="s">
        <v>356</v>
      </c>
      <c r="I45" s="58">
        <v>45931</v>
      </c>
      <c r="J45" s="58">
        <v>46295</v>
      </c>
      <c r="K45" s="32" t="s">
        <v>601</v>
      </c>
      <c r="L45" s="32" t="s">
        <v>597</v>
      </c>
      <c r="M45" s="32" t="s">
        <v>598</v>
      </c>
      <c r="N45" s="32" t="s">
        <v>599</v>
      </c>
      <c r="O45" s="30" t="s">
        <v>602</v>
      </c>
      <c r="P45" s="41" t="s">
        <v>483</v>
      </c>
      <c r="Q45" s="30" t="s">
        <v>363</v>
      </c>
      <c r="R45" s="30" t="s">
        <v>533</v>
      </c>
      <c r="S45" s="74" t="s">
        <v>603</v>
      </c>
      <c r="T45" s="55">
        <v>10171354</v>
      </c>
      <c r="U45" s="55">
        <v>8595754</v>
      </c>
      <c r="V45" s="55">
        <v>18767108</v>
      </c>
      <c r="W45" s="55">
        <v>0</v>
      </c>
      <c r="X45" s="55"/>
      <c r="Y45" s="55">
        <v>0</v>
      </c>
      <c r="Z45" s="28">
        <f t="shared" si="13"/>
        <v>37534216</v>
      </c>
      <c r="AA45" s="95"/>
      <c r="AB45" s="95"/>
      <c r="AC45" s="95"/>
      <c r="AD45" s="95"/>
      <c r="AE45" s="95"/>
      <c r="AF45" s="95"/>
      <c r="AG45" s="95">
        <v>5986027</v>
      </c>
      <c r="AH45" s="95"/>
      <c r="AI45" s="95"/>
      <c r="AJ45" s="95"/>
      <c r="AK45" s="95"/>
      <c r="AL45" s="95"/>
      <c r="AM45" s="95"/>
      <c r="AN45" s="95"/>
      <c r="AO45" s="95"/>
      <c r="AP45" s="95"/>
      <c r="AQ45" s="95"/>
      <c r="AR45" s="95"/>
      <c r="AS45" s="95"/>
      <c r="AT45" s="95"/>
      <c r="AU45" s="95"/>
      <c r="AV45" s="104">
        <v>8595754</v>
      </c>
      <c r="AW45" s="95"/>
      <c r="AX45" s="95"/>
      <c r="AY45" s="95"/>
      <c r="AZ45" s="95"/>
      <c r="BA45" s="95"/>
      <c r="BB45" s="95"/>
      <c r="BC45" s="95"/>
      <c r="BD45" s="95"/>
      <c r="BE45" s="95"/>
      <c r="BF45" s="95"/>
      <c r="BG45" s="95"/>
      <c r="BH45" s="95"/>
      <c r="BI45" s="95"/>
      <c r="BJ45" s="95"/>
      <c r="BK45" s="95"/>
      <c r="BL45" s="95"/>
      <c r="BM45" s="95"/>
      <c r="BN45" s="95"/>
      <c r="BO45" s="95"/>
      <c r="BP45" s="44">
        <f t="shared" si="14"/>
        <v>4185327</v>
      </c>
      <c r="BQ45" s="44">
        <f t="shared" si="15"/>
        <v>0</v>
      </c>
      <c r="BR45" s="44">
        <f t="shared" si="16"/>
        <v>0</v>
      </c>
      <c r="BS45" s="44">
        <f t="shared" si="17"/>
        <v>0</v>
      </c>
    </row>
    <row r="46" spans="1:71" s="84" customFormat="1" ht="157.35" customHeight="1" x14ac:dyDescent="0.25">
      <c r="A46" s="36" t="s">
        <v>604</v>
      </c>
      <c r="B46" s="32" t="s">
        <v>605</v>
      </c>
      <c r="C46" s="32" t="s">
        <v>606</v>
      </c>
      <c r="D46" s="30" t="str">
        <f t="shared" si="12"/>
        <v>1.7-2.1</v>
      </c>
      <c r="E46" s="32" t="s">
        <v>607</v>
      </c>
      <c r="F46" s="30" t="s">
        <v>229</v>
      </c>
      <c r="G46" s="49" t="s">
        <v>291</v>
      </c>
      <c r="H46" s="49" t="s">
        <v>608</v>
      </c>
      <c r="I46" s="58">
        <v>45931</v>
      </c>
      <c r="J46" s="58">
        <v>46295</v>
      </c>
      <c r="K46" s="32" t="s">
        <v>609</v>
      </c>
      <c r="L46" s="32" t="s">
        <v>610</v>
      </c>
      <c r="M46" s="32" t="s">
        <v>611</v>
      </c>
      <c r="N46" s="32" t="s">
        <v>612</v>
      </c>
      <c r="O46" s="41" t="s">
        <v>613</v>
      </c>
      <c r="P46" s="41" t="s">
        <v>483</v>
      </c>
      <c r="Q46" s="41" t="s">
        <v>363</v>
      </c>
      <c r="R46" s="41" t="s">
        <v>466</v>
      </c>
      <c r="S46" s="56" t="s">
        <v>376</v>
      </c>
      <c r="T46" s="119">
        <v>0</v>
      </c>
      <c r="U46" s="119">
        <v>0</v>
      </c>
      <c r="V46" s="119">
        <v>0</v>
      </c>
      <c r="W46" s="119">
        <v>0</v>
      </c>
      <c r="X46" s="119"/>
      <c r="Y46" s="119">
        <v>0</v>
      </c>
      <c r="Z46" s="28">
        <f t="shared" si="13"/>
        <v>0</v>
      </c>
      <c r="AA46" s="95"/>
      <c r="AB46" s="96"/>
      <c r="AC46" s="96"/>
      <c r="AD46" s="96"/>
      <c r="AE46" s="96"/>
      <c r="AF46" s="96"/>
      <c r="AG46" s="96"/>
      <c r="AH46" s="96"/>
      <c r="AI46" s="96"/>
      <c r="AJ46" s="96"/>
      <c r="AK46" s="96"/>
      <c r="AL46" s="96"/>
      <c r="AM46" s="95"/>
      <c r="AN46" s="95"/>
      <c r="AO46" s="95"/>
      <c r="AP46" s="95"/>
      <c r="AQ46" s="95"/>
      <c r="AR46" s="95"/>
      <c r="AS46" s="95"/>
      <c r="AT46" s="95"/>
      <c r="AU46" s="95"/>
      <c r="AV46" s="95"/>
      <c r="AW46" s="95"/>
      <c r="AX46" s="95"/>
      <c r="AY46" s="95"/>
      <c r="AZ46" s="95"/>
      <c r="BA46" s="95"/>
      <c r="BB46" s="95"/>
      <c r="BC46" s="95"/>
      <c r="BD46" s="95"/>
      <c r="BE46" s="95"/>
      <c r="BF46" s="95"/>
      <c r="BG46" s="95"/>
      <c r="BH46" s="95"/>
      <c r="BI46" s="95"/>
      <c r="BJ46" s="95"/>
      <c r="BK46" s="95"/>
      <c r="BL46" s="95"/>
      <c r="BM46" s="95"/>
      <c r="BN46" s="95"/>
      <c r="BO46" s="95"/>
      <c r="BP46" s="85">
        <f t="shared" si="14"/>
        <v>0</v>
      </c>
      <c r="BQ46" s="85">
        <f t="shared" si="15"/>
        <v>0</v>
      </c>
      <c r="BR46" s="85">
        <f t="shared" si="16"/>
        <v>0</v>
      </c>
      <c r="BS46" s="85">
        <f t="shared" si="17"/>
        <v>0</v>
      </c>
    </row>
    <row r="47" spans="1:71" s="84" customFormat="1" ht="157.35" customHeight="1" x14ac:dyDescent="0.25">
      <c r="A47" s="36" t="s">
        <v>604</v>
      </c>
      <c r="B47" s="32" t="s">
        <v>605</v>
      </c>
      <c r="C47" s="32" t="s">
        <v>606</v>
      </c>
      <c r="D47" s="30" t="str">
        <f t="shared" si="12"/>
        <v>1.7-2.2</v>
      </c>
      <c r="E47" s="32" t="s">
        <v>614</v>
      </c>
      <c r="F47" s="30" t="s">
        <v>229</v>
      </c>
      <c r="G47" s="49" t="s">
        <v>355</v>
      </c>
      <c r="H47" s="49" t="s">
        <v>356</v>
      </c>
      <c r="I47" s="58">
        <v>45931</v>
      </c>
      <c r="J47" s="58">
        <v>46295</v>
      </c>
      <c r="K47" s="32" t="s">
        <v>615</v>
      </c>
      <c r="L47" s="32" t="s">
        <v>610</v>
      </c>
      <c r="M47" s="32" t="s">
        <v>611</v>
      </c>
      <c r="N47" s="32" t="s">
        <v>612</v>
      </c>
      <c r="O47" s="41" t="s">
        <v>616</v>
      </c>
      <c r="P47" s="41" t="s">
        <v>483</v>
      </c>
      <c r="Q47" s="41" t="s">
        <v>363</v>
      </c>
      <c r="R47" s="41" t="s">
        <v>466</v>
      </c>
      <c r="S47" s="56" t="s">
        <v>376</v>
      </c>
      <c r="T47" s="119">
        <v>0</v>
      </c>
      <c r="U47" s="119">
        <v>0</v>
      </c>
      <c r="V47" s="119">
        <v>0</v>
      </c>
      <c r="W47" s="119">
        <v>0</v>
      </c>
      <c r="X47" s="119"/>
      <c r="Y47" s="119">
        <v>0</v>
      </c>
      <c r="Z47" s="28">
        <f t="shared" si="13"/>
        <v>0</v>
      </c>
      <c r="AA47" s="95"/>
      <c r="AB47" s="96"/>
      <c r="AC47" s="96"/>
      <c r="AD47" s="96"/>
      <c r="AE47" s="96"/>
      <c r="AF47" s="96"/>
      <c r="AG47" s="96"/>
      <c r="AH47" s="96"/>
      <c r="AI47" s="96"/>
      <c r="AJ47" s="96"/>
      <c r="AK47" s="96"/>
      <c r="AL47" s="96"/>
      <c r="AM47" s="95"/>
      <c r="AN47" s="95"/>
      <c r="AO47" s="95"/>
      <c r="AP47" s="95"/>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85">
        <f t="shared" si="14"/>
        <v>0</v>
      </c>
      <c r="BQ47" s="85">
        <f t="shared" si="15"/>
        <v>0</v>
      </c>
      <c r="BR47" s="85">
        <f t="shared" si="16"/>
        <v>0</v>
      </c>
      <c r="BS47" s="85">
        <f t="shared" si="17"/>
        <v>0</v>
      </c>
    </row>
    <row r="48" spans="1:71" s="84" customFormat="1" ht="157.35" customHeight="1" x14ac:dyDescent="0.25">
      <c r="A48" s="36" t="s">
        <v>604</v>
      </c>
      <c r="B48" s="32" t="s">
        <v>605</v>
      </c>
      <c r="C48" s="32" t="s">
        <v>606</v>
      </c>
      <c r="D48" s="30" t="str">
        <f t="shared" si="12"/>
        <v>1.7-2.3</v>
      </c>
      <c r="E48" s="32" t="s">
        <v>617</v>
      </c>
      <c r="F48" s="30" t="s">
        <v>229</v>
      </c>
      <c r="G48" s="49" t="s">
        <v>618</v>
      </c>
      <c r="H48" s="49"/>
      <c r="I48" s="58">
        <v>45931</v>
      </c>
      <c r="J48" s="58">
        <v>46295</v>
      </c>
      <c r="K48" s="32" t="s">
        <v>619</v>
      </c>
      <c r="L48" s="32" t="s">
        <v>610</v>
      </c>
      <c r="M48" s="32" t="s">
        <v>611</v>
      </c>
      <c r="N48" s="32" t="s">
        <v>612</v>
      </c>
      <c r="O48" s="41" t="s">
        <v>620</v>
      </c>
      <c r="P48" s="41" t="s">
        <v>483</v>
      </c>
      <c r="Q48" s="41" t="s">
        <v>363</v>
      </c>
      <c r="R48" s="41" t="s">
        <v>466</v>
      </c>
      <c r="S48" s="56" t="s">
        <v>376</v>
      </c>
      <c r="T48" s="119">
        <v>0</v>
      </c>
      <c r="U48" s="119"/>
      <c r="V48" s="119">
        <v>0</v>
      </c>
      <c r="W48" s="119"/>
      <c r="X48" s="119"/>
      <c r="Y48" s="119">
        <v>0</v>
      </c>
      <c r="Z48" s="28">
        <f t="shared" si="13"/>
        <v>0</v>
      </c>
      <c r="AA48" s="95"/>
      <c r="AB48" s="95"/>
      <c r="AC48" s="95"/>
      <c r="AD48" s="95"/>
      <c r="AE48" s="95"/>
      <c r="AF48" s="95"/>
      <c r="AG48" s="95"/>
      <c r="AH48" s="95"/>
      <c r="AI48" s="95"/>
      <c r="AJ48" s="95"/>
      <c r="AK48" s="95"/>
      <c r="AL48" s="95"/>
      <c r="AM48" s="95"/>
      <c r="AN48" s="95"/>
      <c r="AO48" s="95"/>
      <c r="AP48" s="95"/>
      <c r="AQ48" s="95"/>
      <c r="AR48" s="95"/>
      <c r="AS48" s="95"/>
      <c r="AT48" s="95"/>
      <c r="AU48" s="95"/>
      <c r="AV48" s="95"/>
      <c r="AW48" s="95"/>
      <c r="AX48" s="95"/>
      <c r="AY48" s="95"/>
      <c r="AZ48" s="95"/>
      <c r="BA48" s="95"/>
      <c r="BB48" s="95"/>
      <c r="BC48" s="95"/>
      <c r="BD48" s="95"/>
      <c r="BE48" s="95"/>
      <c r="BF48" s="95"/>
      <c r="BG48" s="95"/>
      <c r="BH48" s="95"/>
      <c r="BI48" s="95"/>
      <c r="BJ48" s="95"/>
      <c r="BK48" s="95"/>
      <c r="BL48" s="95"/>
      <c r="BM48" s="95"/>
      <c r="BN48" s="95"/>
      <c r="BO48" s="95"/>
      <c r="BP48" s="44">
        <f t="shared" si="14"/>
        <v>0</v>
      </c>
      <c r="BQ48" s="44">
        <f t="shared" si="15"/>
        <v>0</v>
      </c>
      <c r="BR48" s="44">
        <f t="shared" si="16"/>
        <v>0</v>
      </c>
      <c r="BS48" s="44">
        <f t="shared" si="17"/>
        <v>0</v>
      </c>
    </row>
    <row r="49" spans="1:71" s="84" customFormat="1" ht="97.35" customHeight="1" x14ac:dyDescent="0.25">
      <c r="A49" s="36" t="s">
        <v>604</v>
      </c>
      <c r="B49" s="32" t="s">
        <v>621</v>
      </c>
      <c r="C49" s="32" t="s">
        <v>622</v>
      </c>
      <c r="D49" s="30" t="str">
        <f t="shared" si="12"/>
        <v>1.7-3.1</v>
      </c>
      <c r="E49" s="32" t="s">
        <v>623</v>
      </c>
      <c r="F49" s="30" t="s">
        <v>229</v>
      </c>
      <c r="G49" s="49" t="s">
        <v>355</v>
      </c>
      <c r="H49" s="49" t="s">
        <v>356</v>
      </c>
      <c r="I49" s="58">
        <v>45931</v>
      </c>
      <c r="J49" s="58">
        <v>46295</v>
      </c>
      <c r="K49" s="32" t="s">
        <v>624</v>
      </c>
      <c r="L49" s="62" t="s">
        <v>625</v>
      </c>
      <c r="M49" s="32" t="s">
        <v>626</v>
      </c>
      <c r="N49" s="32" t="s">
        <v>627</v>
      </c>
      <c r="O49" s="41" t="s">
        <v>628</v>
      </c>
      <c r="P49" s="41" t="s">
        <v>629</v>
      </c>
      <c r="Q49" s="41" t="s">
        <v>363</v>
      </c>
      <c r="R49" s="41" t="s">
        <v>363</v>
      </c>
      <c r="S49" s="56" t="s">
        <v>376</v>
      </c>
      <c r="T49" s="119">
        <v>0</v>
      </c>
      <c r="U49" s="119">
        <v>0</v>
      </c>
      <c r="V49" s="119">
        <v>0</v>
      </c>
      <c r="W49" s="119">
        <v>0</v>
      </c>
      <c r="X49" s="119"/>
      <c r="Y49" s="119">
        <v>0</v>
      </c>
      <c r="Z49" s="28">
        <f t="shared" si="13"/>
        <v>0</v>
      </c>
      <c r="AA49" s="95"/>
      <c r="AB49" s="96"/>
      <c r="AC49" s="96"/>
      <c r="AD49" s="96"/>
      <c r="AE49" s="96"/>
      <c r="AF49" s="96"/>
      <c r="AG49" s="96"/>
      <c r="AH49" s="96"/>
      <c r="AI49" s="96"/>
      <c r="AJ49" s="96"/>
      <c r="AK49" s="96"/>
      <c r="AL49" s="96"/>
      <c r="AM49" s="95"/>
      <c r="AN49" s="95"/>
      <c r="AO49" s="95"/>
      <c r="AP49" s="95"/>
      <c r="AQ49" s="95"/>
      <c r="AR49" s="95"/>
      <c r="AS49" s="95"/>
      <c r="AT49" s="95"/>
      <c r="AU49" s="95"/>
      <c r="AV49" s="95"/>
      <c r="AW49" s="95"/>
      <c r="AX49" s="95"/>
      <c r="AY49" s="95"/>
      <c r="AZ49" s="95"/>
      <c r="BA49" s="95"/>
      <c r="BB49" s="95"/>
      <c r="BC49" s="95"/>
      <c r="BD49" s="95"/>
      <c r="BE49" s="95"/>
      <c r="BF49" s="95"/>
      <c r="BG49" s="95"/>
      <c r="BH49" s="95"/>
      <c r="BI49" s="95"/>
      <c r="BJ49" s="95"/>
      <c r="BK49" s="95"/>
      <c r="BL49" s="95"/>
      <c r="BM49" s="95"/>
      <c r="BN49" s="95"/>
      <c r="BO49" s="95"/>
      <c r="BP49" s="85">
        <f t="shared" si="14"/>
        <v>0</v>
      </c>
      <c r="BQ49" s="85">
        <f t="shared" si="15"/>
        <v>0</v>
      </c>
      <c r="BR49" s="85">
        <f t="shared" si="16"/>
        <v>0</v>
      </c>
      <c r="BS49" s="85">
        <f t="shared" si="17"/>
        <v>0</v>
      </c>
    </row>
    <row r="50" spans="1:71" s="84" customFormat="1" ht="97.35" customHeight="1" x14ac:dyDescent="0.25">
      <c r="A50" s="36" t="s">
        <v>604</v>
      </c>
      <c r="B50" s="32" t="s">
        <v>621</v>
      </c>
      <c r="C50" s="32" t="s">
        <v>622</v>
      </c>
      <c r="D50" s="30" t="str">
        <f t="shared" si="12"/>
        <v>1.7-3.2</v>
      </c>
      <c r="E50" s="32" t="s">
        <v>630</v>
      </c>
      <c r="F50" s="30" t="s">
        <v>229</v>
      </c>
      <c r="G50" s="49" t="s">
        <v>355</v>
      </c>
      <c r="H50" s="49" t="s">
        <v>356</v>
      </c>
      <c r="I50" s="58">
        <v>45931</v>
      </c>
      <c r="J50" s="58">
        <v>46172</v>
      </c>
      <c r="K50" s="32" t="s">
        <v>631</v>
      </c>
      <c r="L50" s="62" t="s">
        <v>625</v>
      </c>
      <c r="M50" s="32" t="s">
        <v>626</v>
      </c>
      <c r="N50" s="32" t="s">
        <v>627</v>
      </c>
      <c r="O50" s="41" t="s">
        <v>556</v>
      </c>
      <c r="P50" s="41" t="s">
        <v>629</v>
      </c>
      <c r="Q50" s="41" t="s">
        <v>363</v>
      </c>
      <c r="R50" s="41" t="s">
        <v>415</v>
      </c>
      <c r="S50" s="56" t="s">
        <v>632</v>
      </c>
      <c r="T50" s="119">
        <v>7673860</v>
      </c>
      <c r="U50" s="119"/>
      <c r="V50" s="119">
        <v>7673860</v>
      </c>
      <c r="W50" s="119"/>
      <c r="X50" s="119"/>
      <c r="Y50" s="119">
        <v>0</v>
      </c>
      <c r="Z50" s="28">
        <f t="shared" si="13"/>
        <v>15347720</v>
      </c>
      <c r="AA50" s="95"/>
      <c r="AB50" s="95"/>
      <c r="AC50" s="95"/>
      <c r="AD50" s="95" t="e">
        <f>#REF!</f>
        <v>#REF!</v>
      </c>
      <c r="AE50" s="95"/>
      <c r="AF50" s="95"/>
      <c r="AG50" s="95"/>
      <c r="AH50" s="95"/>
      <c r="AI50" s="95"/>
      <c r="AJ50" s="95"/>
      <c r="AK50" s="95"/>
      <c r="AL50" s="95"/>
      <c r="AM50" s="95"/>
      <c r="AN50" s="95"/>
      <c r="AO50" s="95"/>
      <c r="AP50" s="95"/>
      <c r="AQ50" s="95"/>
      <c r="AR50" s="95"/>
      <c r="AS50" s="95"/>
      <c r="AT50" s="95"/>
      <c r="AU50" s="95"/>
      <c r="AV50" s="95"/>
      <c r="AW50" s="95"/>
      <c r="AX50" s="95"/>
      <c r="AY50" s="95"/>
      <c r="AZ50" s="95"/>
      <c r="BA50" s="95"/>
      <c r="BB50" s="95"/>
      <c r="BC50" s="95"/>
      <c r="BD50" s="95"/>
      <c r="BE50" s="95"/>
      <c r="BF50" s="95"/>
      <c r="BG50" s="95"/>
      <c r="BH50" s="95"/>
      <c r="BI50" s="95"/>
      <c r="BJ50" s="95"/>
      <c r="BK50" s="95"/>
      <c r="BL50" s="95"/>
      <c r="BM50" s="95"/>
      <c r="BN50" s="95"/>
      <c r="BO50" s="95"/>
      <c r="BP50" s="44" t="e">
        <f t="shared" si="14"/>
        <v>#REF!</v>
      </c>
      <c r="BQ50" s="44">
        <f t="shared" si="15"/>
        <v>0</v>
      </c>
      <c r="BR50" s="44">
        <f t="shared" si="16"/>
        <v>0</v>
      </c>
      <c r="BS50" s="44">
        <f t="shared" si="17"/>
        <v>0</v>
      </c>
    </row>
    <row r="51" spans="1:71" s="84" customFormat="1" ht="97.35" customHeight="1" x14ac:dyDescent="0.25">
      <c r="A51" s="36" t="s">
        <v>604</v>
      </c>
      <c r="B51" s="32" t="s">
        <v>621</v>
      </c>
      <c r="C51" s="32" t="s">
        <v>622</v>
      </c>
      <c r="D51" s="30" t="str">
        <f t="shared" si="12"/>
        <v>1.7-3.3</v>
      </c>
      <c r="E51" s="32" t="s">
        <v>633</v>
      </c>
      <c r="F51" s="30" t="s">
        <v>229</v>
      </c>
      <c r="G51" s="49" t="s">
        <v>355</v>
      </c>
      <c r="H51" s="49" t="s">
        <v>356</v>
      </c>
      <c r="I51" s="58">
        <v>45931</v>
      </c>
      <c r="J51" s="58">
        <v>46022</v>
      </c>
      <c r="K51" s="32" t="s">
        <v>634</v>
      </c>
      <c r="L51" s="62" t="s">
        <v>625</v>
      </c>
      <c r="M51" s="32" t="s">
        <v>626</v>
      </c>
      <c r="N51" s="32" t="s">
        <v>627</v>
      </c>
      <c r="O51" s="41" t="s">
        <v>635</v>
      </c>
      <c r="P51" s="41" t="s">
        <v>629</v>
      </c>
      <c r="Q51" s="41" t="s">
        <v>363</v>
      </c>
      <c r="R51" s="93" t="s">
        <v>415</v>
      </c>
      <c r="S51" s="56" t="s">
        <v>636</v>
      </c>
      <c r="T51" s="119">
        <v>6386582</v>
      </c>
      <c r="U51" s="119"/>
      <c r="V51" s="119">
        <v>6386582</v>
      </c>
      <c r="W51" s="119"/>
      <c r="X51" s="119"/>
      <c r="Y51" s="119">
        <v>0</v>
      </c>
      <c r="Z51" s="28">
        <f t="shared" si="13"/>
        <v>12773164</v>
      </c>
      <c r="AA51" s="119"/>
      <c r="AB51" s="45"/>
      <c r="AC51" s="95"/>
      <c r="AD51" s="95" t="e">
        <f>#REF!</f>
        <v>#REF!</v>
      </c>
      <c r="AE51" s="95"/>
      <c r="AF51" s="95"/>
      <c r="AG51" s="95"/>
      <c r="AH51" s="95"/>
      <c r="AI51" s="95"/>
      <c r="AJ51" s="95"/>
      <c r="AK51" s="95"/>
      <c r="AL51" s="95"/>
      <c r="AM51" s="95"/>
      <c r="AN51" s="95"/>
      <c r="AO51" s="95"/>
      <c r="AP51" s="95"/>
      <c r="AQ51" s="95"/>
      <c r="AR51" s="95"/>
      <c r="AS51" s="95"/>
      <c r="AT51" s="95"/>
      <c r="AU51" s="95"/>
      <c r="AV51" s="95"/>
      <c r="AW51" s="95"/>
      <c r="AX51" s="95"/>
      <c r="AY51" s="95"/>
      <c r="AZ51" s="95"/>
      <c r="BA51" s="95"/>
      <c r="BB51" s="95"/>
      <c r="BC51" s="95"/>
      <c r="BD51" s="95"/>
      <c r="BE51" s="95"/>
      <c r="BF51" s="95"/>
      <c r="BG51" s="95"/>
      <c r="BH51" s="95"/>
      <c r="BI51" s="95"/>
      <c r="BJ51" s="95"/>
      <c r="BK51" s="95"/>
      <c r="BL51" s="95"/>
      <c r="BM51" s="95"/>
      <c r="BN51" s="95"/>
      <c r="BO51" s="95"/>
      <c r="BP51" s="44" t="e">
        <f t="shared" si="14"/>
        <v>#REF!</v>
      </c>
      <c r="BQ51" s="44">
        <f t="shared" si="15"/>
        <v>0</v>
      </c>
      <c r="BR51" s="44">
        <f t="shared" si="16"/>
        <v>0</v>
      </c>
      <c r="BS51" s="44">
        <f t="shared" si="17"/>
        <v>0</v>
      </c>
    </row>
    <row r="52" spans="1:71" s="84" customFormat="1" ht="97.35" customHeight="1" x14ac:dyDescent="0.25">
      <c r="A52" s="36" t="s">
        <v>604</v>
      </c>
      <c r="B52" s="32" t="s">
        <v>621</v>
      </c>
      <c r="C52" s="32" t="s">
        <v>622</v>
      </c>
      <c r="D52" s="30" t="str">
        <f t="shared" si="12"/>
        <v>1.7-3.4</v>
      </c>
      <c r="E52" s="32" t="s">
        <v>238</v>
      </c>
      <c r="F52" s="30" t="s">
        <v>229</v>
      </c>
      <c r="G52" s="49" t="s">
        <v>355</v>
      </c>
      <c r="H52" s="49" t="s">
        <v>356</v>
      </c>
      <c r="I52" s="58">
        <v>46143</v>
      </c>
      <c r="J52" s="58">
        <v>46295</v>
      </c>
      <c r="K52" s="32" t="s">
        <v>637</v>
      </c>
      <c r="L52" s="62" t="s">
        <v>625</v>
      </c>
      <c r="M52" s="32" t="s">
        <v>626</v>
      </c>
      <c r="N52" s="32" t="s">
        <v>627</v>
      </c>
      <c r="O52" s="41" t="s">
        <v>635</v>
      </c>
      <c r="P52" s="41" t="s">
        <v>629</v>
      </c>
      <c r="Q52" s="41" t="s">
        <v>363</v>
      </c>
      <c r="R52" s="93" t="s">
        <v>415</v>
      </c>
      <c r="S52" s="56" t="s">
        <v>638</v>
      </c>
      <c r="T52" s="119">
        <v>-3641136</v>
      </c>
      <c r="U52" s="119">
        <v>26995530</v>
      </c>
      <c r="V52" s="119">
        <v>23354394</v>
      </c>
      <c r="W52" s="119"/>
      <c r="X52" s="119"/>
      <c r="Y52" s="119">
        <v>97410874</v>
      </c>
      <c r="Z52" s="28">
        <f t="shared" si="13"/>
        <v>144119662</v>
      </c>
      <c r="AA52" s="119"/>
      <c r="AB52" s="95"/>
      <c r="AC52" s="45"/>
      <c r="AD52" s="95" t="e">
        <f>#REF!</f>
        <v>#REF!</v>
      </c>
      <c r="AE52" s="45"/>
      <c r="AF52" s="95"/>
      <c r="AG52" s="95"/>
      <c r="AH52" s="95"/>
      <c r="AI52" s="95"/>
      <c r="AJ52" s="95"/>
      <c r="AK52" s="95"/>
      <c r="AL52" s="95"/>
      <c r="AM52" s="95"/>
      <c r="AN52" s="95"/>
      <c r="AO52" s="95"/>
      <c r="AP52" s="95"/>
      <c r="AQ52" s="95"/>
      <c r="AR52" s="95"/>
      <c r="AS52" s="95"/>
      <c r="AT52" s="95"/>
      <c r="AU52" s="95"/>
      <c r="AV52" s="104">
        <v>5399106</v>
      </c>
      <c r="AW52" s="95"/>
      <c r="AX52" s="95"/>
      <c r="AY52" s="104">
        <v>19482174.800000001</v>
      </c>
      <c r="AZ52" s="104">
        <v>5399106</v>
      </c>
      <c r="BA52" s="95"/>
      <c r="BB52" s="95"/>
      <c r="BC52" s="104">
        <v>19482174.800000001</v>
      </c>
      <c r="BD52" s="104">
        <v>5399106</v>
      </c>
      <c r="BE52" s="95"/>
      <c r="BF52" s="95"/>
      <c r="BG52" s="104">
        <v>19482174.800000001</v>
      </c>
      <c r="BH52" s="104">
        <v>5399106</v>
      </c>
      <c r="BI52" s="95"/>
      <c r="BJ52" s="95"/>
      <c r="BK52" s="104">
        <v>19482174.800000001</v>
      </c>
      <c r="BL52" s="104">
        <v>5399106</v>
      </c>
      <c r="BM52" s="95"/>
      <c r="BN52" s="95"/>
      <c r="BO52" s="104">
        <v>19482174.800000001</v>
      </c>
      <c r="BP52" s="44" t="e">
        <f t="shared" si="14"/>
        <v>#REF!</v>
      </c>
      <c r="BQ52" s="44">
        <f t="shared" si="15"/>
        <v>0</v>
      </c>
      <c r="BR52" s="44">
        <f t="shared" si="16"/>
        <v>0</v>
      </c>
      <c r="BS52" s="44">
        <f t="shared" si="17"/>
        <v>0</v>
      </c>
    </row>
    <row r="53" spans="1:71" s="84" customFormat="1" ht="97.35" customHeight="1" x14ac:dyDescent="0.25">
      <c r="A53" s="36" t="s">
        <v>604</v>
      </c>
      <c r="B53" s="32" t="s">
        <v>621</v>
      </c>
      <c r="C53" s="32" t="s">
        <v>622</v>
      </c>
      <c r="D53" s="30" t="str">
        <f t="shared" si="12"/>
        <v>1.7-3.5</v>
      </c>
      <c r="E53" s="32" t="s">
        <v>639</v>
      </c>
      <c r="F53" s="30" t="s">
        <v>229</v>
      </c>
      <c r="G53" s="49" t="s">
        <v>291</v>
      </c>
      <c r="H53" s="49" t="s">
        <v>640</v>
      </c>
      <c r="I53" s="58">
        <v>45931</v>
      </c>
      <c r="J53" s="58">
        <v>46203</v>
      </c>
      <c r="K53" s="32" t="s">
        <v>641</v>
      </c>
      <c r="L53" s="62" t="s">
        <v>625</v>
      </c>
      <c r="M53" s="32" t="s">
        <v>626</v>
      </c>
      <c r="N53" s="32" t="s">
        <v>627</v>
      </c>
      <c r="O53" s="41" t="s">
        <v>642</v>
      </c>
      <c r="P53" s="41" t="s">
        <v>629</v>
      </c>
      <c r="Q53" s="41" t="s">
        <v>455</v>
      </c>
      <c r="R53" s="41" t="s">
        <v>456</v>
      </c>
      <c r="S53" s="56" t="s">
        <v>643</v>
      </c>
      <c r="T53" s="119">
        <v>0</v>
      </c>
      <c r="U53" s="119">
        <v>0</v>
      </c>
      <c r="V53" s="119">
        <v>0</v>
      </c>
      <c r="W53" s="119">
        <v>4000000</v>
      </c>
      <c r="X53" s="119">
        <v>16000000</v>
      </c>
      <c r="Y53" s="119">
        <v>0</v>
      </c>
      <c r="Z53" s="28">
        <f t="shared" si="13"/>
        <v>20000000</v>
      </c>
      <c r="AA53" s="95"/>
      <c r="AB53" s="95"/>
      <c r="AC53" s="95"/>
      <c r="AD53" s="96"/>
      <c r="AE53" s="104">
        <f>W53</f>
        <v>4000000</v>
      </c>
      <c r="AF53" s="104">
        <f>X53</f>
        <v>16000000</v>
      </c>
      <c r="AG53" s="96"/>
      <c r="AH53" s="96"/>
      <c r="AI53" s="96"/>
      <c r="AJ53" s="96"/>
      <c r="AK53" s="96"/>
      <c r="AL53" s="96"/>
      <c r="AM53" s="95"/>
      <c r="AN53" s="95"/>
      <c r="AO53" s="95"/>
      <c r="AP53" s="95"/>
      <c r="AQ53" s="95"/>
      <c r="AR53" s="95"/>
      <c r="AS53" s="95"/>
      <c r="AT53" s="95"/>
      <c r="AU53" s="95"/>
      <c r="AV53" s="95"/>
      <c r="AW53" s="104">
        <v>4000000</v>
      </c>
      <c r="AX53" s="104">
        <v>16000000</v>
      </c>
      <c r="AY53" s="95"/>
      <c r="AZ53" s="95"/>
      <c r="BA53" s="95"/>
      <c r="BB53" s="95"/>
      <c r="BC53" s="95"/>
      <c r="BD53" s="95"/>
      <c r="BE53" s="95"/>
      <c r="BF53" s="95"/>
      <c r="BG53" s="95"/>
      <c r="BH53" s="95"/>
      <c r="BI53" s="95"/>
      <c r="BJ53" s="95"/>
      <c r="BK53" s="95"/>
      <c r="BL53" s="95"/>
      <c r="BM53" s="95"/>
      <c r="BN53" s="95"/>
      <c r="BO53" s="95"/>
      <c r="BP53" s="85">
        <f t="shared" si="14"/>
        <v>0</v>
      </c>
      <c r="BQ53" s="85">
        <f t="shared" si="15"/>
        <v>0</v>
      </c>
      <c r="BR53" s="85">
        <f t="shared" si="16"/>
        <v>-4000000</v>
      </c>
      <c r="BS53" s="85">
        <f t="shared" si="17"/>
        <v>-16000000</v>
      </c>
    </row>
    <row r="54" spans="1:71" s="84" customFormat="1" ht="97.35" customHeight="1" x14ac:dyDescent="0.25">
      <c r="A54" s="36" t="s">
        <v>604</v>
      </c>
      <c r="B54" s="32" t="s">
        <v>621</v>
      </c>
      <c r="C54" s="32" t="s">
        <v>622</v>
      </c>
      <c r="D54" s="30" t="str">
        <f t="shared" si="12"/>
        <v>1.7-3.6</v>
      </c>
      <c r="E54" s="32" t="s">
        <v>644</v>
      </c>
      <c r="F54" s="30" t="s">
        <v>229</v>
      </c>
      <c r="G54" s="49" t="s">
        <v>355</v>
      </c>
      <c r="H54" s="49" t="s">
        <v>356</v>
      </c>
      <c r="I54" s="58">
        <v>46023</v>
      </c>
      <c r="J54" s="58">
        <v>46203</v>
      </c>
      <c r="K54" s="32" t="s">
        <v>645</v>
      </c>
      <c r="L54" s="62" t="s">
        <v>625</v>
      </c>
      <c r="M54" s="32" t="s">
        <v>626</v>
      </c>
      <c r="N54" s="32" t="s">
        <v>627</v>
      </c>
      <c r="O54" s="41" t="s">
        <v>646</v>
      </c>
      <c r="P54" s="41" t="s">
        <v>629</v>
      </c>
      <c r="Q54" s="41" t="s">
        <v>363</v>
      </c>
      <c r="R54" s="41" t="s">
        <v>363</v>
      </c>
      <c r="S54" s="56" t="s">
        <v>376</v>
      </c>
      <c r="T54" s="119"/>
      <c r="U54" s="119">
        <v>0</v>
      </c>
      <c r="V54" s="119">
        <v>0</v>
      </c>
      <c r="W54" s="119"/>
      <c r="X54" s="119"/>
      <c r="Y54" s="119">
        <v>0</v>
      </c>
      <c r="Z54" s="28">
        <f t="shared" si="13"/>
        <v>0</v>
      </c>
      <c r="AA54" s="95"/>
      <c r="AB54" s="96"/>
      <c r="AC54" s="96"/>
      <c r="AD54" s="96"/>
      <c r="AE54" s="96"/>
      <c r="AF54" s="96"/>
      <c r="AG54" s="96"/>
      <c r="AH54" s="96"/>
      <c r="AI54" s="96"/>
      <c r="AJ54" s="96"/>
      <c r="AK54" s="96"/>
      <c r="AL54" s="96"/>
      <c r="AM54" s="95"/>
      <c r="AN54" s="95"/>
      <c r="AO54" s="95"/>
      <c r="AP54" s="95"/>
      <c r="AQ54" s="95"/>
      <c r="AR54" s="95"/>
      <c r="AS54" s="95"/>
      <c r="AT54" s="95"/>
      <c r="AU54" s="95"/>
      <c r="AV54" s="95"/>
      <c r="AW54" s="95"/>
      <c r="AX54" s="95"/>
      <c r="AY54" s="95"/>
      <c r="AZ54" s="95"/>
      <c r="BA54" s="95"/>
      <c r="BB54" s="95"/>
      <c r="BC54" s="95"/>
      <c r="BD54" s="95"/>
      <c r="BE54" s="95"/>
      <c r="BF54" s="95"/>
      <c r="BG54" s="95"/>
      <c r="BH54" s="95"/>
      <c r="BI54" s="95"/>
      <c r="BJ54" s="95"/>
      <c r="BK54" s="95"/>
      <c r="BL54" s="95"/>
      <c r="BM54" s="95"/>
      <c r="BN54" s="95"/>
      <c r="BO54" s="95"/>
      <c r="BP54" s="85">
        <f t="shared" si="14"/>
        <v>0</v>
      </c>
      <c r="BQ54" s="85">
        <f t="shared" si="15"/>
        <v>0</v>
      </c>
      <c r="BR54" s="85">
        <f t="shared" si="16"/>
        <v>0</v>
      </c>
      <c r="BS54" s="85">
        <f t="shared" si="17"/>
        <v>0</v>
      </c>
    </row>
    <row r="55" spans="1:71" s="84" customFormat="1" ht="97.35" customHeight="1" x14ac:dyDescent="0.25">
      <c r="A55" s="36" t="s">
        <v>604</v>
      </c>
      <c r="B55" s="32" t="s">
        <v>621</v>
      </c>
      <c r="C55" s="32" t="s">
        <v>622</v>
      </c>
      <c r="D55" s="30" t="str">
        <f t="shared" si="12"/>
        <v>1.7-3.7</v>
      </c>
      <c r="E55" s="32" t="s">
        <v>647</v>
      </c>
      <c r="F55" s="30" t="s">
        <v>229</v>
      </c>
      <c r="G55" s="49" t="s">
        <v>355</v>
      </c>
      <c r="H55" s="49" t="s">
        <v>356</v>
      </c>
      <c r="I55" s="58">
        <v>45931</v>
      </c>
      <c r="J55" s="58">
        <v>46295</v>
      </c>
      <c r="K55" s="32" t="s">
        <v>648</v>
      </c>
      <c r="L55" s="62" t="s">
        <v>649</v>
      </c>
      <c r="M55" s="32" t="s">
        <v>650</v>
      </c>
      <c r="N55" s="32" t="s">
        <v>651</v>
      </c>
      <c r="O55" s="41" t="s">
        <v>602</v>
      </c>
      <c r="P55" s="41" t="s">
        <v>629</v>
      </c>
      <c r="Q55" s="41" t="s">
        <v>363</v>
      </c>
      <c r="R55" s="41" t="s">
        <v>363</v>
      </c>
      <c r="S55" s="56" t="s">
        <v>652</v>
      </c>
      <c r="T55" s="119"/>
      <c r="U55" s="119">
        <v>0</v>
      </c>
      <c r="V55" s="119">
        <v>0</v>
      </c>
      <c r="W55" s="119"/>
      <c r="X55" s="119"/>
      <c r="Y55" s="119">
        <v>26058000</v>
      </c>
      <c r="Z55" s="28">
        <f t="shared" si="13"/>
        <v>26058000</v>
      </c>
      <c r="AA55" s="95"/>
      <c r="AB55" s="96"/>
      <c r="AC55" s="96"/>
      <c r="AD55" s="96"/>
      <c r="AE55" s="96"/>
      <c r="AF55" s="96"/>
      <c r="AG55" s="96"/>
      <c r="AH55" s="96"/>
      <c r="AI55" s="96"/>
      <c r="AJ55" s="96"/>
      <c r="AK55" s="96"/>
      <c r="AL55" s="96"/>
      <c r="AM55" s="95"/>
      <c r="AN55" s="95"/>
      <c r="AO55" s="95"/>
      <c r="AP55" s="95"/>
      <c r="AQ55" s="95"/>
      <c r="AR55" s="95"/>
      <c r="AS55" s="95"/>
      <c r="AT55" s="95"/>
      <c r="AU55" s="95"/>
      <c r="AV55" s="95"/>
      <c r="AW55" s="95"/>
      <c r="AX55" s="95"/>
      <c r="AY55" s="95"/>
      <c r="AZ55" s="95"/>
      <c r="BA55" s="95"/>
      <c r="BB55" s="95"/>
      <c r="BC55" s="95"/>
      <c r="BD55" s="95"/>
      <c r="BE55" s="95"/>
      <c r="BF55" s="95"/>
      <c r="BG55" s="104">
        <v>13029000</v>
      </c>
      <c r="BH55" s="95"/>
      <c r="BI55" s="95"/>
      <c r="BJ55" s="95"/>
      <c r="BK55" s="104">
        <v>13029000</v>
      </c>
      <c r="BL55" s="95"/>
      <c r="BM55" s="95"/>
      <c r="BN55" s="95"/>
      <c r="BO55" s="95"/>
      <c r="BP55" s="85">
        <f t="shared" si="14"/>
        <v>0</v>
      </c>
      <c r="BQ55" s="85">
        <f t="shared" si="15"/>
        <v>0</v>
      </c>
      <c r="BR55" s="85">
        <f t="shared" si="16"/>
        <v>0</v>
      </c>
      <c r="BS55" s="85">
        <f t="shared" si="17"/>
        <v>0</v>
      </c>
    </row>
    <row r="56" spans="1:71" s="84" customFormat="1" ht="97.35" customHeight="1" x14ac:dyDescent="0.25">
      <c r="A56" s="36" t="s">
        <v>604</v>
      </c>
      <c r="B56" s="32" t="s">
        <v>621</v>
      </c>
      <c r="C56" s="32" t="s">
        <v>622</v>
      </c>
      <c r="D56" s="30" t="str">
        <f t="shared" si="12"/>
        <v>1.7-3.8</v>
      </c>
      <c r="E56" s="32" t="s">
        <v>653</v>
      </c>
      <c r="F56" s="30" t="s">
        <v>229</v>
      </c>
      <c r="G56" s="151" t="s">
        <v>355</v>
      </c>
      <c r="H56" s="49" t="s">
        <v>356</v>
      </c>
      <c r="I56" s="58">
        <v>46113</v>
      </c>
      <c r="J56" s="58">
        <v>46295</v>
      </c>
      <c r="K56" s="150" t="s">
        <v>654</v>
      </c>
      <c r="L56" s="149" t="s">
        <v>655</v>
      </c>
      <c r="M56" s="149" t="s">
        <v>656</v>
      </c>
      <c r="N56" s="149" t="s">
        <v>657</v>
      </c>
      <c r="O56" s="148" t="s">
        <v>658</v>
      </c>
      <c r="P56" s="41" t="s">
        <v>629</v>
      </c>
      <c r="Q56" s="41" t="s">
        <v>363</v>
      </c>
      <c r="R56" s="41" t="s">
        <v>363</v>
      </c>
      <c r="S56" s="56" t="s">
        <v>659</v>
      </c>
      <c r="T56" s="119"/>
      <c r="U56" s="119"/>
      <c r="V56" s="119">
        <v>0</v>
      </c>
      <c r="W56" s="119"/>
      <c r="X56" s="119"/>
      <c r="Y56" s="119">
        <v>33561000</v>
      </c>
      <c r="Z56" s="28">
        <f t="shared" si="13"/>
        <v>33561000</v>
      </c>
      <c r="AA56" s="95"/>
      <c r="AB56" s="96"/>
      <c r="AC56" s="96"/>
      <c r="AD56" s="96"/>
      <c r="AE56" s="96"/>
      <c r="AF56" s="96"/>
      <c r="AG56" s="96"/>
      <c r="AH56" s="96"/>
      <c r="AI56" s="96"/>
      <c r="AJ56" s="96"/>
      <c r="AK56" s="96"/>
      <c r="AL56" s="96"/>
      <c r="AM56" s="95"/>
      <c r="AN56" s="95"/>
      <c r="AO56" s="95"/>
      <c r="AP56" s="95"/>
      <c r="AQ56" s="95"/>
      <c r="AR56" s="95"/>
      <c r="AS56" s="95"/>
      <c r="AT56" s="95"/>
      <c r="AU56" s="95"/>
      <c r="AV56" s="95"/>
      <c r="AW56" s="95"/>
      <c r="AX56" s="95"/>
      <c r="AY56" s="95"/>
      <c r="AZ56" s="95"/>
      <c r="BA56" s="95"/>
      <c r="BB56" s="95"/>
      <c r="BC56" s="104">
        <v>33561000</v>
      </c>
      <c r="BD56" s="95"/>
      <c r="BE56" s="95"/>
      <c r="BF56" s="95"/>
      <c r="BG56" s="95"/>
      <c r="BH56" s="95"/>
      <c r="BI56" s="95"/>
      <c r="BJ56" s="95"/>
      <c r="BK56" s="95"/>
      <c r="BL56" s="95"/>
      <c r="BM56" s="95"/>
      <c r="BN56" s="95"/>
      <c r="BO56" s="95"/>
      <c r="BP56" s="85"/>
      <c r="BQ56" s="85"/>
      <c r="BR56" s="85"/>
      <c r="BS56" s="85"/>
    </row>
    <row r="57" spans="1:71" s="84" customFormat="1" ht="97.35" customHeight="1" x14ac:dyDescent="0.25">
      <c r="A57" s="36" t="s">
        <v>604</v>
      </c>
      <c r="B57" s="32" t="s">
        <v>621</v>
      </c>
      <c r="C57" s="32" t="s">
        <v>622</v>
      </c>
      <c r="D57" s="30" t="str">
        <f t="shared" si="12"/>
        <v>1.7-3.9</v>
      </c>
      <c r="E57" s="32" t="s">
        <v>660</v>
      </c>
      <c r="F57" s="30" t="s">
        <v>229</v>
      </c>
      <c r="G57" s="49" t="s">
        <v>355</v>
      </c>
      <c r="H57" s="49"/>
      <c r="I57" s="58">
        <v>46113</v>
      </c>
      <c r="J57" s="58">
        <v>46295</v>
      </c>
      <c r="K57" s="147" t="s">
        <v>661</v>
      </c>
      <c r="L57" s="147" t="s">
        <v>662</v>
      </c>
      <c r="M57" s="147" t="s">
        <v>663</v>
      </c>
      <c r="N57" s="147" t="s">
        <v>664</v>
      </c>
      <c r="O57" s="146" t="s">
        <v>665</v>
      </c>
      <c r="P57" s="41" t="s">
        <v>629</v>
      </c>
      <c r="Q57" s="41" t="s">
        <v>363</v>
      </c>
      <c r="R57" s="41" t="s">
        <v>363</v>
      </c>
      <c r="S57" s="144" t="s">
        <v>659</v>
      </c>
      <c r="T57" s="119"/>
      <c r="U57" s="119"/>
      <c r="V57" s="119">
        <v>0</v>
      </c>
      <c r="W57" s="119"/>
      <c r="X57" s="119"/>
      <c r="Y57" s="119">
        <v>7863000</v>
      </c>
      <c r="Z57" s="28">
        <f t="shared" si="13"/>
        <v>7863000</v>
      </c>
      <c r="AA57" s="95"/>
      <c r="AB57" s="96"/>
      <c r="AC57" s="96"/>
      <c r="AD57" s="96"/>
      <c r="AE57" s="96"/>
      <c r="AF57" s="96"/>
      <c r="AG57" s="96"/>
      <c r="AH57" s="96"/>
      <c r="AI57" s="96"/>
      <c r="AJ57" s="96"/>
      <c r="AK57" s="96"/>
      <c r="AL57" s="96"/>
      <c r="AM57" s="95"/>
      <c r="AN57" s="95"/>
      <c r="AO57" s="95"/>
      <c r="AP57" s="95"/>
      <c r="AQ57" s="95"/>
      <c r="AR57" s="95"/>
      <c r="AS57" s="95"/>
      <c r="AT57" s="95"/>
      <c r="AU57" s="95"/>
      <c r="AV57" s="95"/>
      <c r="AW57" s="95"/>
      <c r="AX57" s="95"/>
      <c r="AY57" s="95"/>
      <c r="AZ57" s="95"/>
      <c r="BA57" s="95"/>
      <c r="BB57" s="95"/>
      <c r="BC57" s="104">
        <v>7863000</v>
      </c>
      <c r="BD57" s="95"/>
      <c r="BE57" s="95"/>
      <c r="BF57" s="95"/>
      <c r="BG57" s="95"/>
      <c r="BH57" s="95"/>
      <c r="BI57" s="95"/>
      <c r="BJ57" s="95"/>
      <c r="BK57" s="95"/>
      <c r="BL57" s="95"/>
      <c r="BM57" s="95"/>
      <c r="BN57" s="95"/>
      <c r="BO57" s="95"/>
      <c r="BP57" s="85"/>
      <c r="BQ57" s="85"/>
      <c r="BR57" s="85"/>
      <c r="BS57" s="85"/>
    </row>
    <row r="58" spans="1:71" s="84" customFormat="1" ht="97.35" customHeight="1" x14ac:dyDescent="0.25">
      <c r="A58" s="36" t="s">
        <v>604</v>
      </c>
      <c r="B58" s="32" t="s">
        <v>621</v>
      </c>
      <c r="C58" s="32" t="s">
        <v>622</v>
      </c>
      <c r="D58" s="30" t="str">
        <f t="shared" si="12"/>
        <v>1.7-3.10</v>
      </c>
      <c r="E58" s="32" t="s">
        <v>666</v>
      </c>
      <c r="F58" s="30" t="s">
        <v>229</v>
      </c>
      <c r="G58" s="49" t="s">
        <v>291</v>
      </c>
      <c r="H58" s="49" t="s">
        <v>667</v>
      </c>
      <c r="I58" s="58">
        <v>46113</v>
      </c>
      <c r="J58" s="58">
        <v>46295</v>
      </c>
      <c r="K58" s="32" t="s">
        <v>668</v>
      </c>
      <c r="L58" s="145" t="s">
        <v>625</v>
      </c>
      <c r="M58" s="32"/>
      <c r="N58" s="145" t="s">
        <v>627</v>
      </c>
      <c r="O58" s="144" t="s">
        <v>642</v>
      </c>
      <c r="P58" s="41" t="s">
        <v>629</v>
      </c>
      <c r="Q58" s="41" t="s">
        <v>363</v>
      </c>
      <c r="R58" s="41" t="s">
        <v>363</v>
      </c>
      <c r="S58" s="144" t="s">
        <v>669</v>
      </c>
      <c r="T58" s="119"/>
      <c r="U58" s="119">
        <v>400000</v>
      </c>
      <c r="V58" s="119">
        <v>400000</v>
      </c>
      <c r="W58" s="119"/>
      <c r="X58" s="119"/>
      <c r="Y58" s="119">
        <v>0</v>
      </c>
      <c r="Z58" s="28">
        <f t="shared" si="13"/>
        <v>800000</v>
      </c>
      <c r="AA58" s="95"/>
      <c r="AB58" s="96"/>
      <c r="AC58" s="96"/>
      <c r="AD58" s="96"/>
      <c r="AE58" s="96"/>
      <c r="AF58" s="96"/>
      <c r="AG58" s="96"/>
      <c r="AH58" s="96"/>
      <c r="AI58" s="96"/>
      <c r="AJ58" s="96"/>
      <c r="AK58" s="96"/>
      <c r="AL58" s="96"/>
      <c r="AM58" s="95"/>
      <c r="AN58" s="95"/>
      <c r="AO58" s="95"/>
      <c r="AP58" s="95"/>
      <c r="AQ58" s="95"/>
      <c r="AR58" s="95"/>
      <c r="AS58" s="95"/>
      <c r="AT58" s="95"/>
      <c r="AU58" s="95"/>
      <c r="AV58" s="104">
        <v>400000</v>
      </c>
      <c r="AW58" s="95"/>
      <c r="AX58" s="95"/>
      <c r="AY58" s="95"/>
      <c r="AZ58" s="95"/>
      <c r="BA58" s="95"/>
      <c r="BB58" s="95"/>
      <c r="BC58" s="95"/>
      <c r="BD58" s="95"/>
      <c r="BE58" s="95"/>
      <c r="BF58" s="95"/>
      <c r="BG58" s="95"/>
      <c r="BH58" s="95"/>
      <c r="BI58" s="95"/>
      <c r="BJ58" s="95"/>
      <c r="BK58" s="95"/>
      <c r="BL58" s="95"/>
      <c r="BM58" s="95"/>
      <c r="BN58" s="95"/>
      <c r="BO58" s="95"/>
      <c r="BP58" s="85"/>
      <c r="BQ58" s="85"/>
      <c r="BR58" s="85"/>
      <c r="BS58" s="85"/>
    </row>
    <row r="59" spans="1:71" s="84" customFormat="1" ht="97.35" customHeight="1" x14ac:dyDescent="0.25">
      <c r="A59" s="36" t="s">
        <v>604</v>
      </c>
      <c r="B59" s="32" t="s">
        <v>621</v>
      </c>
      <c r="C59" s="32" t="s">
        <v>622</v>
      </c>
      <c r="D59" s="30" t="str">
        <f t="shared" si="12"/>
        <v>1.7-3.11</v>
      </c>
      <c r="E59" s="32" t="s">
        <v>670</v>
      </c>
      <c r="F59" s="30" t="s">
        <v>229</v>
      </c>
      <c r="G59" s="49" t="s">
        <v>291</v>
      </c>
      <c r="H59" s="49" t="s">
        <v>356</v>
      </c>
      <c r="I59" s="58">
        <v>46113</v>
      </c>
      <c r="J59" s="58">
        <v>46295</v>
      </c>
      <c r="K59" s="32" t="s">
        <v>671</v>
      </c>
      <c r="L59" s="145" t="s">
        <v>625</v>
      </c>
      <c r="M59" s="32"/>
      <c r="N59" s="145" t="s">
        <v>627</v>
      </c>
      <c r="O59" s="144" t="s">
        <v>642</v>
      </c>
      <c r="P59" s="41" t="s">
        <v>629</v>
      </c>
      <c r="Q59" s="41" t="s">
        <v>363</v>
      </c>
      <c r="R59" s="41" t="s">
        <v>363</v>
      </c>
      <c r="S59" s="144" t="s">
        <v>376</v>
      </c>
      <c r="T59" s="119"/>
      <c r="U59" s="119"/>
      <c r="V59" s="119">
        <v>0</v>
      </c>
      <c r="W59" s="119"/>
      <c r="X59" s="119"/>
      <c r="Y59" s="119">
        <v>0</v>
      </c>
      <c r="Z59" s="28">
        <f t="shared" si="13"/>
        <v>0</v>
      </c>
      <c r="AA59" s="95"/>
      <c r="AB59" s="96"/>
      <c r="AC59" s="96"/>
      <c r="AD59" s="96"/>
      <c r="AE59" s="96"/>
      <c r="AF59" s="96"/>
      <c r="AG59" s="96"/>
      <c r="AH59" s="96"/>
      <c r="AI59" s="96"/>
      <c r="AJ59" s="96"/>
      <c r="AK59" s="96"/>
      <c r="AL59" s="96"/>
      <c r="AM59" s="95"/>
      <c r="AN59" s="95"/>
      <c r="AO59" s="95"/>
      <c r="AP59" s="95"/>
      <c r="AQ59" s="95"/>
      <c r="AR59" s="95"/>
      <c r="AS59" s="95"/>
      <c r="AT59" s="95"/>
      <c r="AU59" s="95"/>
      <c r="AV59" s="95"/>
      <c r="AW59" s="95"/>
      <c r="AX59" s="95"/>
      <c r="AY59" s="95"/>
      <c r="AZ59" s="95"/>
      <c r="BA59" s="95"/>
      <c r="BB59" s="95"/>
      <c r="BC59" s="95"/>
      <c r="BD59" s="95"/>
      <c r="BE59" s="95"/>
      <c r="BF59" s="95"/>
      <c r="BG59" s="95"/>
      <c r="BH59" s="95"/>
      <c r="BI59" s="95"/>
      <c r="BJ59" s="95"/>
      <c r="BK59" s="95"/>
      <c r="BL59" s="95"/>
      <c r="BM59" s="95"/>
      <c r="BN59" s="95"/>
      <c r="BO59" s="95"/>
      <c r="BP59" s="85"/>
      <c r="BQ59" s="85"/>
      <c r="BR59" s="85"/>
      <c r="BS59" s="85"/>
    </row>
    <row r="60" spans="1:71" s="84" customFormat="1" ht="216" customHeight="1" x14ac:dyDescent="0.25">
      <c r="A60" s="36" t="s">
        <v>604</v>
      </c>
      <c r="B60" s="32" t="s">
        <v>672</v>
      </c>
      <c r="C60" s="32" t="s">
        <v>673</v>
      </c>
      <c r="D60" s="30" t="str">
        <f t="shared" si="12"/>
        <v>1.7-4.1</v>
      </c>
      <c r="E60" s="32" t="s">
        <v>674</v>
      </c>
      <c r="F60" s="30" t="s">
        <v>229</v>
      </c>
      <c r="G60" s="49" t="s">
        <v>461</v>
      </c>
      <c r="H60" s="49"/>
      <c r="I60" s="58">
        <v>45931</v>
      </c>
      <c r="J60" s="58">
        <v>46295</v>
      </c>
      <c r="K60" s="32" t="s">
        <v>675</v>
      </c>
      <c r="L60" s="62" t="s">
        <v>676</v>
      </c>
      <c r="M60" s="32" t="s">
        <v>676</v>
      </c>
      <c r="N60" s="32"/>
      <c r="O60" s="41" t="s">
        <v>677</v>
      </c>
      <c r="P60" s="41" t="s">
        <v>678</v>
      </c>
      <c r="Q60" s="41" t="s">
        <v>363</v>
      </c>
      <c r="R60" s="41" t="s">
        <v>679</v>
      </c>
      <c r="S60" s="56" t="s">
        <v>680</v>
      </c>
      <c r="T60" s="119">
        <v>0</v>
      </c>
      <c r="U60" s="119">
        <v>0</v>
      </c>
      <c r="V60" s="119">
        <v>0</v>
      </c>
      <c r="W60" s="119">
        <v>1395820</v>
      </c>
      <c r="X60" s="119">
        <v>9145550</v>
      </c>
      <c r="Y60" s="119">
        <v>0</v>
      </c>
      <c r="Z60" s="28">
        <f t="shared" si="13"/>
        <v>10541370</v>
      </c>
      <c r="AA60" s="95"/>
      <c r="AB60" s="96"/>
      <c r="AC60" s="96"/>
      <c r="AD60" s="96"/>
      <c r="AE60" s="96"/>
      <c r="AF60" s="96"/>
      <c r="AG60" s="96"/>
      <c r="AH60" s="96"/>
      <c r="AI60" s="96"/>
      <c r="AJ60" s="96"/>
      <c r="AK60" s="96"/>
      <c r="AL60" s="96"/>
      <c r="AM60" s="95"/>
      <c r="AN60" s="95"/>
      <c r="AO60" s="95"/>
      <c r="AP60" s="95"/>
      <c r="AQ60" s="95"/>
      <c r="AR60" s="95"/>
      <c r="AS60" s="95"/>
      <c r="AT60" s="95"/>
      <c r="AU60" s="95"/>
      <c r="AV60" s="95"/>
      <c r="AW60" s="95"/>
      <c r="AX60" s="95"/>
      <c r="AY60" s="95"/>
      <c r="AZ60" s="95"/>
      <c r="BA60" s="95"/>
      <c r="BB60" s="95"/>
      <c r="BC60" s="95"/>
      <c r="BD60" s="95"/>
      <c r="BE60" s="95"/>
      <c r="BF60" s="95"/>
      <c r="BG60" s="95"/>
      <c r="BH60" s="95"/>
      <c r="BI60" s="95"/>
      <c r="BJ60" s="95"/>
      <c r="BK60" s="95"/>
      <c r="BL60" s="95"/>
      <c r="BM60" s="95"/>
      <c r="BN60" s="95"/>
      <c r="BO60" s="95"/>
      <c r="BP60" s="85">
        <f t="shared" ref="BP60:BP82" si="18">T60-SUM(AA60,AD60,AG60,AJ60,AM60,AP60)</f>
        <v>0</v>
      </c>
      <c r="BQ60" s="85">
        <f t="shared" ref="BQ60:BQ82" si="19">U60-SUM(AS60,AV60,AZ60,BD60,BH60,BL60)</f>
        <v>0</v>
      </c>
      <c r="BR60" s="85">
        <f t="shared" ref="BR60:BR82" si="20">W60-SUM(AB60,AE60,AH60,AK60,AN60,AQ60,AT60,AW60,BA60,BE60,BI60,BM60)</f>
        <v>1395820</v>
      </c>
      <c r="BS60" s="85">
        <f t="shared" ref="BS60:BS82" si="21">X60-SUM(AC60,AF60,AI60,AL60,AO60,AR60,AU60,AX60,BB60,BF60,BJ60,BN60)</f>
        <v>9145550</v>
      </c>
    </row>
    <row r="61" spans="1:71" s="84" customFormat="1" ht="245.1" customHeight="1" x14ac:dyDescent="0.25">
      <c r="A61" s="36" t="s">
        <v>604</v>
      </c>
      <c r="B61" s="32" t="s">
        <v>672</v>
      </c>
      <c r="C61" s="32" t="s">
        <v>673</v>
      </c>
      <c r="D61" s="30" t="str">
        <f t="shared" si="12"/>
        <v>1.7-4.2</v>
      </c>
      <c r="E61" s="32" t="s">
        <v>681</v>
      </c>
      <c r="F61" s="30" t="s">
        <v>229</v>
      </c>
      <c r="G61" s="49" t="s">
        <v>461</v>
      </c>
      <c r="H61" s="49"/>
      <c r="I61" s="58">
        <v>45931</v>
      </c>
      <c r="J61" s="58">
        <v>46295</v>
      </c>
      <c r="K61" s="32" t="s">
        <v>682</v>
      </c>
      <c r="L61" s="62" t="s">
        <v>676</v>
      </c>
      <c r="M61" s="32" t="s">
        <v>676</v>
      </c>
      <c r="N61" s="32"/>
      <c r="O61" s="41" t="s">
        <v>683</v>
      </c>
      <c r="P61" s="41" t="s">
        <v>678</v>
      </c>
      <c r="Q61" s="41" t="s">
        <v>363</v>
      </c>
      <c r="R61" s="41" t="s">
        <v>363</v>
      </c>
      <c r="S61" s="56" t="s">
        <v>684</v>
      </c>
      <c r="T61" s="119">
        <v>0</v>
      </c>
      <c r="U61" s="119">
        <v>0</v>
      </c>
      <c r="V61" s="119">
        <v>0</v>
      </c>
      <c r="W61" s="119">
        <v>5000000</v>
      </c>
      <c r="X61" s="119">
        <v>13200000</v>
      </c>
      <c r="Y61" s="119">
        <v>0</v>
      </c>
      <c r="Z61" s="28">
        <f t="shared" si="13"/>
        <v>18200000</v>
      </c>
      <c r="AA61" s="95"/>
      <c r="AB61" s="96"/>
      <c r="AC61" s="96"/>
      <c r="AD61" s="96"/>
      <c r="AE61" s="96"/>
      <c r="AF61" s="96"/>
      <c r="AG61" s="96"/>
      <c r="AH61" s="96"/>
      <c r="AI61" s="96"/>
      <c r="AJ61" s="96"/>
      <c r="AK61" s="96"/>
      <c r="AL61" s="96"/>
      <c r="AM61" s="95"/>
      <c r="AN61" s="95"/>
      <c r="AO61" s="95"/>
      <c r="AP61" s="95"/>
      <c r="AQ61" s="95"/>
      <c r="AR61" s="95"/>
      <c r="AS61" s="95"/>
      <c r="AT61" s="95"/>
      <c r="AU61" s="95"/>
      <c r="AV61" s="95"/>
      <c r="AW61" s="104">
        <v>5000000</v>
      </c>
      <c r="AX61" s="104">
        <v>13200000</v>
      </c>
      <c r="AY61" s="95"/>
      <c r="AZ61" s="95"/>
      <c r="BA61" s="95"/>
      <c r="BB61" s="95"/>
      <c r="BC61" s="95"/>
      <c r="BD61" s="95"/>
      <c r="BE61" s="95"/>
      <c r="BF61" s="95"/>
      <c r="BG61" s="95"/>
      <c r="BH61" s="95"/>
      <c r="BI61" s="95"/>
      <c r="BJ61" s="95"/>
      <c r="BK61" s="95"/>
      <c r="BL61" s="95"/>
      <c r="BM61" s="95"/>
      <c r="BN61" s="95"/>
      <c r="BO61" s="95"/>
      <c r="BP61" s="85">
        <f t="shared" si="18"/>
        <v>0</v>
      </c>
      <c r="BQ61" s="85">
        <f t="shared" si="19"/>
        <v>0</v>
      </c>
      <c r="BR61" s="85">
        <f t="shared" si="20"/>
        <v>0</v>
      </c>
      <c r="BS61" s="85">
        <f t="shared" si="21"/>
        <v>0</v>
      </c>
    </row>
    <row r="62" spans="1:71" s="84" customFormat="1" ht="201.75" customHeight="1" x14ac:dyDescent="0.25">
      <c r="A62" s="36" t="s">
        <v>604</v>
      </c>
      <c r="B62" s="32" t="s">
        <v>685</v>
      </c>
      <c r="C62" s="32" t="s">
        <v>686</v>
      </c>
      <c r="D62" s="30" t="str">
        <f t="shared" si="12"/>
        <v>1.7-5.1</v>
      </c>
      <c r="E62" s="32" t="s">
        <v>687</v>
      </c>
      <c r="F62" s="30" t="s">
        <v>229</v>
      </c>
      <c r="G62" s="49" t="s">
        <v>355</v>
      </c>
      <c r="H62" s="49" t="s">
        <v>356</v>
      </c>
      <c r="I62" s="58">
        <v>45931</v>
      </c>
      <c r="J62" s="58">
        <v>46295</v>
      </c>
      <c r="K62" s="32" t="s">
        <v>688</v>
      </c>
      <c r="L62" s="62" t="s">
        <v>689</v>
      </c>
      <c r="M62" s="32" t="s">
        <v>690</v>
      </c>
      <c r="N62" s="32" t="s">
        <v>691</v>
      </c>
      <c r="O62" s="41" t="s">
        <v>692</v>
      </c>
      <c r="P62" s="41" t="s">
        <v>693</v>
      </c>
      <c r="Q62" s="41" t="s">
        <v>363</v>
      </c>
      <c r="R62" s="41" t="s">
        <v>363</v>
      </c>
      <c r="S62" s="56" t="s">
        <v>694</v>
      </c>
      <c r="T62" s="119"/>
      <c r="U62" s="119">
        <v>3479270</v>
      </c>
      <c r="V62" s="119">
        <v>3479270</v>
      </c>
      <c r="W62" s="119">
        <v>0</v>
      </c>
      <c r="X62" s="119"/>
      <c r="Y62" s="119">
        <v>3479270</v>
      </c>
      <c r="Z62" s="28">
        <f t="shared" si="13"/>
        <v>10437810</v>
      </c>
      <c r="AA62" s="95"/>
      <c r="AB62" s="96"/>
      <c r="AC62" s="96"/>
      <c r="AD62" s="96"/>
      <c r="AE62" s="96"/>
      <c r="AF62" s="96"/>
      <c r="AG62" s="96"/>
      <c r="AH62" s="96"/>
      <c r="AI62" s="96"/>
      <c r="AJ62" s="96"/>
      <c r="AK62" s="96"/>
      <c r="AL62" s="96"/>
      <c r="AM62" s="95"/>
      <c r="AN62" s="95"/>
      <c r="AO62" s="95"/>
      <c r="AP62" s="95"/>
      <c r="AQ62" s="95"/>
      <c r="AR62" s="95"/>
      <c r="AS62" s="95"/>
      <c r="AT62" s="95"/>
      <c r="AU62" s="95"/>
      <c r="AV62" s="104">
        <v>3479270</v>
      </c>
      <c r="AW62" s="95"/>
      <c r="AX62" s="95"/>
      <c r="AY62" s="95"/>
      <c r="AZ62" s="95"/>
      <c r="BA62" s="95"/>
      <c r="BB62" s="95"/>
      <c r="BC62" s="104">
        <v>3479270</v>
      </c>
      <c r="BD62" s="95"/>
      <c r="BE62" s="95"/>
      <c r="BF62" s="95"/>
      <c r="BG62" s="95"/>
      <c r="BH62" s="95"/>
      <c r="BI62" s="95"/>
      <c r="BJ62" s="95"/>
      <c r="BK62" s="95"/>
      <c r="BL62" s="95"/>
      <c r="BM62" s="95"/>
      <c r="BN62" s="95"/>
      <c r="BO62" s="95"/>
      <c r="BP62" s="85">
        <f t="shared" si="18"/>
        <v>0</v>
      </c>
      <c r="BQ62" s="85">
        <f t="shared" si="19"/>
        <v>0</v>
      </c>
      <c r="BR62" s="85">
        <f t="shared" si="20"/>
        <v>0</v>
      </c>
      <c r="BS62" s="85">
        <f t="shared" si="21"/>
        <v>0</v>
      </c>
    </row>
    <row r="63" spans="1:71" s="84" customFormat="1" ht="158.1" customHeight="1" x14ac:dyDescent="0.25">
      <c r="A63" s="36" t="s">
        <v>604</v>
      </c>
      <c r="B63" s="32" t="s">
        <v>695</v>
      </c>
      <c r="C63" s="32" t="s">
        <v>696</v>
      </c>
      <c r="D63" s="30" t="str">
        <f t="shared" si="12"/>
        <v>1.7-6.1</v>
      </c>
      <c r="E63" s="32" t="s">
        <v>697</v>
      </c>
      <c r="F63" s="30" t="s">
        <v>229</v>
      </c>
      <c r="G63" s="49" t="s">
        <v>355</v>
      </c>
      <c r="H63" s="49" t="s">
        <v>379</v>
      </c>
      <c r="I63" s="58">
        <v>46143</v>
      </c>
      <c r="J63" s="58">
        <v>46203</v>
      </c>
      <c r="K63" s="32" t="s">
        <v>698</v>
      </c>
      <c r="L63" s="62" t="s">
        <v>699</v>
      </c>
      <c r="M63" s="32" t="s">
        <v>700</v>
      </c>
      <c r="N63" s="32" t="s">
        <v>701</v>
      </c>
      <c r="O63" s="41" t="s">
        <v>702</v>
      </c>
      <c r="P63" s="41" t="s">
        <v>703</v>
      </c>
      <c r="Q63" s="41" t="s">
        <v>363</v>
      </c>
      <c r="R63" s="41" t="s">
        <v>704</v>
      </c>
      <c r="S63" s="56" t="s">
        <v>705</v>
      </c>
      <c r="T63" s="119">
        <v>0</v>
      </c>
      <c r="U63" s="119">
        <v>0</v>
      </c>
      <c r="V63" s="119">
        <v>0</v>
      </c>
      <c r="W63" s="119">
        <v>30701122.413023259</v>
      </c>
      <c r="X63" s="119"/>
      <c r="Y63" s="119">
        <v>0</v>
      </c>
      <c r="Z63" s="28">
        <f t="shared" si="13"/>
        <v>30701122.413023259</v>
      </c>
      <c r="AA63" s="95"/>
      <c r="AB63" s="96"/>
      <c r="AC63" s="96"/>
      <c r="AD63" s="96"/>
      <c r="AE63" s="96"/>
      <c r="AF63" s="96"/>
      <c r="AG63" s="96"/>
      <c r="AH63" s="96"/>
      <c r="AI63" s="96"/>
      <c r="AJ63" s="96"/>
      <c r="AK63" s="96"/>
      <c r="AL63" s="96"/>
      <c r="AM63" s="95"/>
      <c r="AN63" s="95"/>
      <c r="AO63" s="95"/>
      <c r="AP63" s="95"/>
      <c r="AQ63" s="95"/>
      <c r="AR63" s="95"/>
      <c r="AS63" s="95"/>
      <c r="AT63" s="95"/>
      <c r="AU63" s="95"/>
      <c r="AV63" s="95"/>
      <c r="AW63" s="95"/>
      <c r="AX63" s="95"/>
      <c r="AY63" s="95"/>
      <c r="AZ63" s="95"/>
      <c r="BA63" s="104">
        <v>30701122.413023259</v>
      </c>
      <c r="BB63" s="95"/>
      <c r="BC63" s="95"/>
      <c r="BD63" s="95"/>
      <c r="BE63" s="95"/>
      <c r="BF63" s="95"/>
      <c r="BG63" s="95"/>
      <c r="BH63" s="95"/>
      <c r="BI63" s="95"/>
      <c r="BJ63" s="95"/>
      <c r="BK63" s="95"/>
      <c r="BL63" s="95"/>
      <c r="BM63" s="95"/>
      <c r="BN63" s="95"/>
      <c r="BO63" s="95"/>
      <c r="BP63" s="85">
        <f t="shared" si="18"/>
        <v>0</v>
      </c>
      <c r="BQ63" s="85">
        <f t="shared" si="19"/>
        <v>0</v>
      </c>
      <c r="BR63" s="85">
        <f t="shared" si="20"/>
        <v>0</v>
      </c>
      <c r="BS63" s="85">
        <f t="shared" si="21"/>
        <v>0</v>
      </c>
    </row>
    <row r="64" spans="1:71" s="84" customFormat="1" ht="158.1" customHeight="1" x14ac:dyDescent="0.25">
      <c r="A64" s="36" t="s">
        <v>604</v>
      </c>
      <c r="B64" s="32" t="s">
        <v>695</v>
      </c>
      <c r="C64" s="32" t="s">
        <v>696</v>
      </c>
      <c r="D64" s="30" t="str">
        <f t="shared" si="12"/>
        <v>1.7-6.2</v>
      </c>
      <c r="E64" s="32" t="s">
        <v>706</v>
      </c>
      <c r="F64" s="30" t="s">
        <v>229</v>
      </c>
      <c r="G64" s="49" t="s">
        <v>355</v>
      </c>
      <c r="H64" s="49" t="s">
        <v>379</v>
      </c>
      <c r="I64" s="58">
        <v>46143</v>
      </c>
      <c r="J64" s="58">
        <v>46203</v>
      </c>
      <c r="K64" s="32" t="s">
        <v>707</v>
      </c>
      <c r="L64" s="62" t="s">
        <v>699</v>
      </c>
      <c r="M64" s="32" t="s">
        <v>700</v>
      </c>
      <c r="N64" s="32" t="s">
        <v>701</v>
      </c>
      <c r="O64" s="41" t="s">
        <v>708</v>
      </c>
      <c r="P64" s="41" t="s">
        <v>703</v>
      </c>
      <c r="Q64" s="41" t="s">
        <v>363</v>
      </c>
      <c r="R64" s="41" t="s">
        <v>363</v>
      </c>
      <c r="S64" s="56" t="s">
        <v>709</v>
      </c>
      <c r="T64" s="119">
        <v>0</v>
      </c>
      <c r="U64" s="119">
        <v>0</v>
      </c>
      <c r="V64" s="119">
        <v>0</v>
      </c>
      <c r="W64" s="119">
        <v>56000000</v>
      </c>
      <c r="X64" s="119"/>
      <c r="Y64" s="119">
        <v>0</v>
      </c>
      <c r="Z64" s="28">
        <f t="shared" si="13"/>
        <v>56000000</v>
      </c>
      <c r="AA64" s="95"/>
      <c r="AB64" s="96"/>
      <c r="AC64" s="96"/>
      <c r="AD64" s="96"/>
      <c r="AE64" s="96"/>
      <c r="AF64" s="96"/>
      <c r="AG64" s="96"/>
      <c r="AH64" s="96"/>
      <c r="AI64" s="96"/>
      <c r="AJ64" s="96"/>
      <c r="AK64" s="96"/>
      <c r="AL64" s="96"/>
      <c r="AM64" s="95"/>
      <c r="AN64" s="95"/>
      <c r="AO64" s="95"/>
      <c r="AP64" s="95"/>
      <c r="AQ64" s="95"/>
      <c r="AR64" s="95"/>
      <c r="AS64" s="95"/>
      <c r="AT64" s="95"/>
      <c r="AU64" s="95"/>
      <c r="AV64" s="95"/>
      <c r="AW64" s="95"/>
      <c r="AX64" s="95"/>
      <c r="AY64" s="95"/>
      <c r="AZ64" s="95"/>
      <c r="BA64" s="95"/>
      <c r="BB64" s="95"/>
      <c r="BC64" s="95"/>
      <c r="BD64" s="95"/>
      <c r="BE64" s="104">
        <v>56000000</v>
      </c>
      <c r="BF64" s="95"/>
      <c r="BG64" s="95"/>
      <c r="BH64" s="95"/>
      <c r="BI64" s="95"/>
      <c r="BJ64" s="95"/>
      <c r="BK64" s="95"/>
      <c r="BL64" s="95"/>
      <c r="BM64" s="95"/>
      <c r="BN64" s="95"/>
      <c r="BO64" s="95"/>
      <c r="BP64" s="85">
        <f t="shared" si="18"/>
        <v>0</v>
      </c>
      <c r="BQ64" s="85">
        <f t="shared" si="19"/>
        <v>0</v>
      </c>
      <c r="BR64" s="85">
        <f t="shared" si="20"/>
        <v>0</v>
      </c>
      <c r="BS64" s="85">
        <f t="shared" si="21"/>
        <v>0</v>
      </c>
    </row>
    <row r="65" spans="1:71" s="84" customFormat="1" ht="158.1" customHeight="1" x14ac:dyDescent="0.25">
      <c r="A65" s="36" t="s">
        <v>604</v>
      </c>
      <c r="B65" s="32" t="s">
        <v>695</v>
      </c>
      <c r="C65" s="32" t="s">
        <v>696</v>
      </c>
      <c r="D65" s="30" t="str">
        <f t="shared" si="12"/>
        <v>1.7-6.3</v>
      </c>
      <c r="E65" s="32" t="s">
        <v>710</v>
      </c>
      <c r="F65" s="30" t="s">
        <v>229</v>
      </c>
      <c r="G65" s="49" t="s">
        <v>355</v>
      </c>
      <c r="H65" s="49" t="s">
        <v>379</v>
      </c>
      <c r="I65" s="58">
        <v>46174</v>
      </c>
      <c r="J65" s="58">
        <v>46264</v>
      </c>
      <c r="K65" s="32" t="s">
        <v>711</v>
      </c>
      <c r="L65" s="62" t="s">
        <v>699</v>
      </c>
      <c r="M65" s="32" t="s">
        <v>700</v>
      </c>
      <c r="N65" s="32" t="s">
        <v>701</v>
      </c>
      <c r="O65" s="41" t="s">
        <v>712</v>
      </c>
      <c r="P65" s="41" t="s">
        <v>703</v>
      </c>
      <c r="Q65" s="41" t="s">
        <v>363</v>
      </c>
      <c r="R65" s="41" t="s">
        <v>363</v>
      </c>
      <c r="S65" s="56" t="s">
        <v>713</v>
      </c>
      <c r="T65" s="119">
        <v>0</v>
      </c>
      <c r="U65" s="119">
        <v>0</v>
      </c>
      <c r="V65" s="119">
        <v>0</v>
      </c>
      <c r="W65" s="119">
        <v>0</v>
      </c>
      <c r="X65" s="119"/>
      <c r="Y65" s="119">
        <v>13500000</v>
      </c>
      <c r="Z65" s="28">
        <f t="shared" si="13"/>
        <v>13500000</v>
      </c>
      <c r="AA65" s="95"/>
      <c r="AB65" s="96"/>
      <c r="AC65" s="96"/>
      <c r="AD65" s="96"/>
      <c r="AE65" s="96"/>
      <c r="AF65" s="96"/>
      <c r="AG65" s="96"/>
      <c r="AH65" s="96"/>
      <c r="AI65" s="96"/>
      <c r="AJ65" s="96"/>
      <c r="AK65" s="96"/>
      <c r="AL65" s="96"/>
      <c r="AM65" s="95"/>
      <c r="AN65" s="95"/>
      <c r="AO65" s="95"/>
      <c r="AP65" s="95"/>
      <c r="AQ65" s="95"/>
      <c r="AR65" s="95"/>
      <c r="AS65" s="95"/>
      <c r="AT65" s="95"/>
      <c r="AU65" s="95"/>
      <c r="AV65" s="95"/>
      <c r="AW65" s="95"/>
      <c r="AX65" s="95"/>
      <c r="AY65" s="95"/>
      <c r="AZ65" s="95"/>
      <c r="BA65" s="95"/>
      <c r="BB65" s="95"/>
      <c r="BC65" s="95"/>
      <c r="BD65" s="95"/>
      <c r="BE65" s="95"/>
      <c r="BF65" s="95"/>
      <c r="BG65" s="95"/>
      <c r="BH65" s="95"/>
      <c r="BI65" s="95"/>
      <c r="BJ65" s="95"/>
      <c r="BK65" s="104">
        <v>13500000</v>
      </c>
      <c r="BL65" s="95"/>
      <c r="BM65" s="95"/>
      <c r="BN65" s="95"/>
      <c r="BO65" s="95"/>
      <c r="BP65" s="85">
        <f t="shared" si="18"/>
        <v>0</v>
      </c>
      <c r="BQ65" s="85">
        <f t="shared" si="19"/>
        <v>0</v>
      </c>
      <c r="BR65" s="85">
        <f t="shared" si="20"/>
        <v>0</v>
      </c>
      <c r="BS65" s="85">
        <f t="shared" si="21"/>
        <v>0</v>
      </c>
    </row>
    <row r="66" spans="1:71" s="84" customFormat="1" ht="158.1" customHeight="1" x14ac:dyDescent="0.25">
      <c r="A66" s="36" t="s">
        <v>604</v>
      </c>
      <c r="B66" s="32" t="s">
        <v>695</v>
      </c>
      <c r="C66" s="32" t="s">
        <v>696</v>
      </c>
      <c r="D66" s="30" t="str">
        <f t="shared" si="12"/>
        <v>1.7-6.4</v>
      </c>
      <c r="E66" s="32" t="s">
        <v>714</v>
      </c>
      <c r="F66" s="30" t="s">
        <v>229</v>
      </c>
      <c r="G66" s="49" t="s">
        <v>355</v>
      </c>
      <c r="H66" s="49" t="s">
        <v>379</v>
      </c>
      <c r="I66" s="58">
        <v>45962</v>
      </c>
      <c r="J66" s="58">
        <v>46203</v>
      </c>
      <c r="K66" s="32" t="s">
        <v>715</v>
      </c>
      <c r="L66" s="62" t="s">
        <v>699</v>
      </c>
      <c r="M66" s="32" t="s">
        <v>700</v>
      </c>
      <c r="N66" s="32" t="s">
        <v>701</v>
      </c>
      <c r="O66" s="41" t="s">
        <v>716</v>
      </c>
      <c r="P66" s="41" t="s">
        <v>703</v>
      </c>
      <c r="Q66" s="41" t="s">
        <v>363</v>
      </c>
      <c r="R66" s="41" t="s">
        <v>363</v>
      </c>
      <c r="S66" s="56" t="s">
        <v>717</v>
      </c>
      <c r="T66" s="119">
        <v>0</v>
      </c>
      <c r="U66" s="119">
        <v>0</v>
      </c>
      <c r="V66" s="119">
        <v>0</v>
      </c>
      <c r="W66" s="119">
        <v>3548000</v>
      </c>
      <c r="X66" s="119"/>
      <c r="Y66" s="119">
        <v>0</v>
      </c>
      <c r="Z66" s="28">
        <f t="shared" si="13"/>
        <v>3548000</v>
      </c>
      <c r="AA66" s="95"/>
      <c r="AB66" s="96"/>
      <c r="AC66" s="96"/>
      <c r="AD66" s="96"/>
      <c r="AE66" s="96"/>
      <c r="AF66" s="96"/>
      <c r="AG66" s="96"/>
      <c r="AH66" s="104">
        <f>W66</f>
        <v>3548000</v>
      </c>
      <c r="AI66" s="96"/>
      <c r="AJ66" s="96"/>
      <c r="AK66" s="96"/>
      <c r="AL66" s="96"/>
      <c r="AM66" s="95"/>
      <c r="AN66" s="95"/>
      <c r="AO66" s="95"/>
      <c r="AP66" s="95"/>
      <c r="AQ66" s="95"/>
      <c r="AR66" s="95"/>
      <c r="AS66" s="95"/>
      <c r="AT66" s="95"/>
      <c r="AU66" s="95"/>
      <c r="AV66" s="95"/>
      <c r="AW66" s="104">
        <v>3548000</v>
      </c>
      <c r="AX66" s="95"/>
      <c r="AY66" s="95"/>
      <c r="AZ66" s="95"/>
      <c r="BA66" s="95"/>
      <c r="BB66" s="95"/>
      <c r="BC66" s="95"/>
      <c r="BD66" s="95"/>
      <c r="BE66" s="95"/>
      <c r="BF66" s="95"/>
      <c r="BG66" s="95"/>
      <c r="BH66" s="95"/>
      <c r="BI66" s="95"/>
      <c r="BJ66" s="95"/>
      <c r="BK66" s="95"/>
      <c r="BL66" s="95"/>
      <c r="BM66" s="95"/>
      <c r="BN66" s="95"/>
      <c r="BO66" s="95"/>
      <c r="BP66" s="85">
        <f t="shared" si="18"/>
        <v>0</v>
      </c>
      <c r="BQ66" s="85">
        <f t="shared" si="19"/>
        <v>0</v>
      </c>
      <c r="BR66" s="85">
        <f t="shared" si="20"/>
        <v>-3548000</v>
      </c>
      <c r="BS66" s="85">
        <f t="shared" si="21"/>
        <v>0</v>
      </c>
    </row>
    <row r="67" spans="1:71" s="84" customFormat="1" ht="158.1" customHeight="1" x14ac:dyDescent="0.25">
      <c r="A67" s="36" t="s">
        <v>604</v>
      </c>
      <c r="B67" s="32" t="s">
        <v>695</v>
      </c>
      <c r="C67" s="32" t="s">
        <v>718</v>
      </c>
      <c r="D67" s="30" t="str">
        <f t="shared" ref="D67:D98" si="22">TRIM(_xlfn.TEXTBEFORE(E67,":"))</f>
        <v>1.7-6.5</v>
      </c>
      <c r="E67" s="32" t="s">
        <v>719</v>
      </c>
      <c r="F67" s="30" t="s">
        <v>229</v>
      </c>
      <c r="G67" s="49" t="s">
        <v>355</v>
      </c>
      <c r="H67" s="49" t="s">
        <v>379</v>
      </c>
      <c r="I67" s="58">
        <v>46023</v>
      </c>
      <c r="J67" s="58">
        <v>46203</v>
      </c>
      <c r="K67" s="32" t="s">
        <v>720</v>
      </c>
      <c r="L67" s="62" t="s">
        <v>699</v>
      </c>
      <c r="M67" s="32" t="s">
        <v>700</v>
      </c>
      <c r="N67" s="32" t="s">
        <v>701</v>
      </c>
      <c r="O67" s="41" t="s">
        <v>708</v>
      </c>
      <c r="P67" s="41" t="s">
        <v>703</v>
      </c>
      <c r="Q67" s="41" t="s">
        <v>363</v>
      </c>
      <c r="R67" s="41" t="s">
        <v>363</v>
      </c>
      <c r="S67" s="56" t="s">
        <v>721</v>
      </c>
      <c r="T67" s="119"/>
      <c r="U67" s="119">
        <v>0</v>
      </c>
      <c r="V67" s="119">
        <v>0</v>
      </c>
      <c r="W67" s="119">
        <v>21884762</v>
      </c>
      <c r="X67" s="119"/>
      <c r="Y67" s="119">
        <v>0</v>
      </c>
      <c r="Z67" s="28">
        <f t="shared" ref="Z67:Z98" si="23">SUM(T67:Y67)</f>
        <v>21884762</v>
      </c>
      <c r="AA67" s="95"/>
      <c r="AB67" s="96"/>
      <c r="AC67" s="96"/>
      <c r="AD67" s="96"/>
      <c r="AE67" s="96"/>
      <c r="AF67" s="96"/>
      <c r="AG67" s="96"/>
      <c r="AH67" s="96"/>
      <c r="AI67" s="96"/>
      <c r="AJ67" s="96"/>
      <c r="AK67" s="104">
        <f>W67</f>
        <v>21884762</v>
      </c>
      <c r="AL67" s="96"/>
      <c r="AM67" s="95"/>
      <c r="AN67" s="95"/>
      <c r="AO67" s="95"/>
      <c r="AP67" s="95"/>
      <c r="AQ67" s="95"/>
      <c r="AR67" s="95"/>
      <c r="AS67" s="95"/>
      <c r="AT67" s="95"/>
      <c r="AU67" s="95"/>
      <c r="AV67" s="95"/>
      <c r="AW67" s="104">
        <v>21884762</v>
      </c>
      <c r="AX67" s="95"/>
      <c r="AY67" s="95"/>
      <c r="AZ67" s="95"/>
      <c r="BA67" s="95"/>
      <c r="BB67" s="95"/>
      <c r="BC67" s="95"/>
      <c r="BD67" s="95"/>
      <c r="BE67" s="95"/>
      <c r="BF67" s="95"/>
      <c r="BG67" s="95"/>
      <c r="BH67" s="95"/>
      <c r="BI67" s="95"/>
      <c r="BJ67" s="95"/>
      <c r="BK67" s="95"/>
      <c r="BL67" s="95"/>
      <c r="BM67" s="95"/>
      <c r="BN67" s="95"/>
      <c r="BO67" s="95"/>
      <c r="BP67" s="85">
        <f t="shared" si="18"/>
        <v>0</v>
      </c>
      <c r="BQ67" s="85">
        <f t="shared" si="19"/>
        <v>0</v>
      </c>
      <c r="BR67" s="85">
        <f t="shared" si="20"/>
        <v>-21884762</v>
      </c>
      <c r="BS67" s="85">
        <f t="shared" si="21"/>
        <v>0</v>
      </c>
    </row>
    <row r="68" spans="1:71" s="84" customFormat="1" ht="201.75" customHeight="1" x14ac:dyDescent="0.25">
      <c r="A68" s="36" t="s">
        <v>604</v>
      </c>
      <c r="B68" s="138" t="s">
        <v>722</v>
      </c>
      <c r="C68" s="138" t="s">
        <v>723</v>
      </c>
      <c r="D68" s="30" t="str">
        <f t="shared" si="22"/>
        <v>1.7-7.1</v>
      </c>
      <c r="E68" s="138" t="s">
        <v>724</v>
      </c>
      <c r="F68" s="30" t="s">
        <v>229</v>
      </c>
      <c r="G68" s="49" t="s">
        <v>291</v>
      </c>
      <c r="H68" s="49" t="s">
        <v>477</v>
      </c>
      <c r="I68" s="58">
        <v>45931</v>
      </c>
      <c r="J68" s="58">
        <v>46295</v>
      </c>
      <c r="K68" s="62" t="s">
        <v>725</v>
      </c>
      <c r="L68" s="62" t="s">
        <v>725</v>
      </c>
      <c r="M68" s="32" t="s">
        <v>726</v>
      </c>
      <c r="N68" s="32" t="s">
        <v>727</v>
      </c>
      <c r="O68" s="41" t="s">
        <v>728</v>
      </c>
      <c r="P68" s="41" t="s">
        <v>728</v>
      </c>
      <c r="Q68" s="41" t="s">
        <v>363</v>
      </c>
      <c r="R68" s="41" t="s">
        <v>363</v>
      </c>
      <c r="S68" s="56" t="s">
        <v>729</v>
      </c>
      <c r="T68" s="119">
        <v>0</v>
      </c>
      <c r="U68" s="119">
        <v>0</v>
      </c>
      <c r="V68" s="119">
        <v>0</v>
      </c>
      <c r="W68" s="119">
        <v>1852314.58697674</v>
      </c>
      <c r="X68" s="119">
        <v>22646526</v>
      </c>
      <c r="Y68" s="119">
        <v>19132992</v>
      </c>
      <c r="Z68" s="28">
        <f t="shared" si="23"/>
        <v>43631832.586976737</v>
      </c>
      <c r="AA68" s="95"/>
      <c r="AB68" s="95"/>
      <c r="AC68" s="95"/>
      <c r="AD68" s="95"/>
      <c r="AE68" s="95"/>
      <c r="AF68" s="95">
        <f>X68</f>
        <v>22646526</v>
      </c>
      <c r="AG68" s="95"/>
      <c r="AH68" s="95"/>
      <c r="AI68" s="95"/>
      <c r="AJ68" s="95"/>
      <c r="AK68" s="95"/>
      <c r="AL68" s="95"/>
      <c r="AM68" s="95"/>
      <c r="AN68" s="95"/>
      <c r="AO68" s="95"/>
      <c r="AP68" s="95"/>
      <c r="AQ68" s="95"/>
      <c r="AR68" s="95"/>
      <c r="AS68" s="95"/>
      <c r="AT68" s="95"/>
      <c r="AU68" s="95"/>
      <c r="AV68" s="95"/>
      <c r="AW68" s="95"/>
      <c r="AX68" s="95"/>
      <c r="AY68" s="95"/>
      <c r="AZ68" s="95"/>
      <c r="BA68" s="95"/>
      <c r="BB68" s="95"/>
      <c r="BC68" s="95"/>
      <c r="BD68" s="95"/>
      <c r="BE68" s="95"/>
      <c r="BF68" s="95"/>
      <c r="BG68" s="95"/>
      <c r="BH68" s="95"/>
      <c r="BI68" s="104">
        <v>1852315</v>
      </c>
      <c r="BJ68" s="104">
        <v>2118151</v>
      </c>
      <c r="BK68" s="104">
        <v>19132992</v>
      </c>
      <c r="BL68" s="95"/>
      <c r="BM68" s="95"/>
      <c r="BN68" s="95"/>
      <c r="BO68" s="95"/>
      <c r="BP68" s="44">
        <f t="shared" si="18"/>
        <v>0</v>
      </c>
      <c r="BQ68" s="44">
        <f t="shared" si="19"/>
        <v>0</v>
      </c>
      <c r="BR68" s="44">
        <f t="shared" si="20"/>
        <v>-0.41302325995638967</v>
      </c>
      <c r="BS68" s="44">
        <f t="shared" si="21"/>
        <v>-2118151</v>
      </c>
    </row>
    <row r="69" spans="1:71" s="84" customFormat="1" ht="201.75" customHeight="1" x14ac:dyDescent="0.25">
      <c r="A69" s="36" t="s">
        <v>604</v>
      </c>
      <c r="B69" s="32" t="s">
        <v>730</v>
      </c>
      <c r="C69" s="32" t="s">
        <v>731</v>
      </c>
      <c r="D69" s="30" t="str">
        <f t="shared" si="22"/>
        <v>1.7-8.1</v>
      </c>
      <c r="E69" s="32" t="s">
        <v>732</v>
      </c>
      <c r="F69" s="30" t="s">
        <v>229</v>
      </c>
      <c r="G69" s="49" t="s">
        <v>291</v>
      </c>
      <c r="H69" s="49" t="s">
        <v>667</v>
      </c>
      <c r="I69" s="58">
        <v>45931</v>
      </c>
      <c r="J69" s="58">
        <v>46295</v>
      </c>
      <c r="K69" s="62" t="s">
        <v>733</v>
      </c>
      <c r="L69" s="62" t="s">
        <v>733</v>
      </c>
      <c r="M69" s="32" t="s">
        <v>734</v>
      </c>
      <c r="N69" s="32" t="s">
        <v>735</v>
      </c>
      <c r="O69" s="41" t="s">
        <v>736</v>
      </c>
      <c r="P69" s="41" t="s">
        <v>483</v>
      </c>
      <c r="Q69" s="41" t="s">
        <v>516</v>
      </c>
      <c r="R69" s="41" t="s">
        <v>516</v>
      </c>
      <c r="S69" s="56" t="s">
        <v>737</v>
      </c>
      <c r="T69" s="119">
        <v>0</v>
      </c>
      <c r="U69" s="119">
        <v>0</v>
      </c>
      <c r="V69" s="119">
        <v>0</v>
      </c>
      <c r="W69" s="119"/>
      <c r="X69" s="119">
        <v>895334</v>
      </c>
      <c r="Y69" s="119">
        <v>215666</v>
      </c>
      <c r="Z69" s="28">
        <f t="shared" si="23"/>
        <v>1111000</v>
      </c>
      <c r="AA69" s="95"/>
      <c r="AB69" s="95"/>
      <c r="AC69" s="95"/>
      <c r="AD69" s="95"/>
      <c r="AE69" s="95"/>
      <c r="AF69" s="95">
        <f>X69</f>
        <v>895334</v>
      </c>
      <c r="AG69" s="95"/>
      <c r="AH69" s="95"/>
      <c r="AI69" s="95"/>
      <c r="AJ69" s="95"/>
      <c r="AK69" s="95"/>
      <c r="AL69" s="95"/>
      <c r="AM69" s="95"/>
      <c r="AN69" s="95"/>
      <c r="AO69" s="95"/>
      <c r="AP69" s="95"/>
      <c r="AQ69" s="95"/>
      <c r="AR69" s="95"/>
      <c r="AS69" s="95"/>
      <c r="AT69" s="95"/>
      <c r="AU69" s="95"/>
      <c r="AV69" s="95"/>
      <c r="AW69" s="95"/>
      <c r="AX69" s="104">
        <v>202000</v>
      </c>
      <c r="AY69" s="95"/>
      <c r="AZ69" s="95"/>
      <c r="BA69" s="95"/>
      <c r="BB69" s="104">
        <v>101000</v>
      </c>
      <c r="BC69" s="95"/>
      <c r="BD69" s="95"/>
      <c r="BE69" s="95"/>
      <c r="BF69" s="104">
        <v>87334</v>
      </c>
      <c r="BG69" s="104">
        <v>13666</v>
      </c>
      <c r="BH69" s="95"/>
      <c r="BI69" s="95"/>
      <c r="BJ69" s="95"/>
      <c r="BK69" s="104">
        <v>101000</v>
      </c>
      <c r="BL69" s="95"/>
      <c r="BM69" s="95"/>
      <c r="BN69" s="95"/>
      <c r="BO69" s="95">
        <v>101000</v>
      </c>
      <c r="BP69" s="44">
        <f t="shared" si="18"/>
        <v>0</v>
      </c>
      <c r="BQ69" s="44">
        <f t="shared" si="19"/>
        <v>0</v>
      </c>
      <c r="BR69" s="44">
        <f t="shared" si="20"/>
        <v>0</v>
      </c>
      <c r="BS69" s="44">
        <f t="shared" si="21"/>
        <v>-390334</v>
      </c>
    </row>
    <row r="70" spans="1:71" s="84" customFormat="1" ht="108" customHeight="1" x14ac:dyDescent="0.25">
      <c r="A70" s="36" t="s">
        <v>604</v>
      </c>
      <c r="B70" s="138" t="s">
        <v>738</v>
      </c>
      <c r="C70" s="138" t="s">
        <v>739</v>
      </c>
      <c r="D70" s="30" t="str">
        <f t="shared" si="22"/>
        <v>1.7-9.1</v>
      </c>
      <c r="E70" s="138" t="s">
        <v>740</v>
      </c>
      <c r="F70" s="49" t="s">
        <v>229</v>
      </c>
      <c r="G70" s="49" t="s">
        <v>291</v>
      </c>
      <c r="H70" s="49" t="s">
        <v>667</v>
      </c>
      <c r="I70" s="143">
        <v>45931</v>
      </c>
      <c r="J70" s="143">
        <v>46295</v>
      </c>
      <c r="K70" s="142" t="s">
        <v>741</v>
      </c>
      <c r="L70" s="142" t="s">
        <v>742</v>
      </c>
      <c r="M70" s="138" t="s">
        <v>743</v>
      </c>
      <c r="N70" s="138" t="s">
        <v>744</v>
      </c>
      <c r="O70" s="140" t="s">
        <v>741</v>
      </c>
      <c r="P70" s="140" t="s">
        <v>745</v>
      </c>
      <c r="Q70" s="64" t="s">
        <v>363</v>
      </c>
      <c r="R70" s="64" t="s">
        <v>363</v>
      </c>
      <c r="S70" s="116" t="s">
        <v>376</v>
      </c>
      <c r="T70" s="119">
        <v>0</v>
      </c>
      <c r="U70" s="119">
        <v>0</v>
      </c>
      <c r="V70" s="119">
        <v>0</v>
      </c>
      <c r="W70" s="119">
        <v>0</v>
      </c>
      <c r="X70" s="119"/>
      <c r="Y70" s="119">
        <v>0</v>
      </c>
      <c r="Z70" s="28">
        <f t="shared" si="23"/>
        <v>0</v>
      </c>
      <c r="AA70" s="95"/>
      <c r="AB70" s="96"/>
      <c r="AC70" s="96"/>
      <c r="AD70" s="96"/>
      <c r="AE70" s="96"/>
      <c r="AF70" s="96"/>
      <c r="AG70" s="96"/>
      <c r="AH70" s="96"/>
      <c r="AI70" s="96"/>
      <c r="AJ70" s="96"/>
      <c r="AK70" s="96"/>
      <c r="AL70" s="96"/>
      <c r="AM70" s="95"/>
      <c r="AN70" s="95"/>
      <c r="AO70" s="95"/>
      <c r="AP70" s="95"/>
      <c r="AQ70" s="95"/>
      <c r="AR70" s="95"/>
      <c r="AS70" s="95"/>
      <c r="AT70" s="95"/>
      <c r="AU70" s="95"/>
      <c r="AV70" s="95"/>
      <c r="AW70" s="95"/>
      <c r="AX70" s="95"/>
      <c r="AY70" s="95"/>
      <c r="AZ70" s="95"/>
      <c r="BA70" s="95"/>
      <c r="BB70" s="95"/>
      <c r="BC70" s="95"/>
      <c r="BD70" s="95"/>
      <c r="BE70" s="95"/>
      <c r="BF70" s="95"/>
      <c r="BG70" s="95"/>
      <c r="BH70" s="95"/>
      <c r="BI70" s="95"/>
      <c r="BJ70" s="95"/>
      <c r="BK70" s="95"/>
      <c r="BL70" s="95"/>
      <c r="BM70" s="95"/>
      <c r="BN70" s="95"/>
      <c r="BO70" s="95"/>
      <c r="BP70" s="85">
        <f t="shared" si="18"/>
        <v>0</v>
      </c>
      <c r="BQ70" s="85">
        <f t="shared" si="19"/>
        <v>0</v>
      </c>
      <c r="BR70" s="85">
        <f t="shared" si="20"/>
        <v>0</v>
      </c>
      <c r="BS70" s="85">
        <f t="shared" si="21"/>
        <v>0</v>
      </c>
    </row>
    <row r="71" spans="1:71" s="84" customFormat="1" ht="108" customHeight="1" x14ac:dyDescent="0.25">
      <c r="A71" s="36" t="s">
        <v>604</v>
      </c>
      <c r="B71" s="138" t="s">
        <v>738</v>
      </c>
      <c r="C71" s="138" t="s">
        <v>746</v>
      </c>
      <c r="D71" s="30" t="str">
        <f t="shared" si="22"/>
        <v>1.7-9.2</v>
      </c>
      <c r="E71" s="138" t="s">
        <v>747</v>
      </c>
      <c r="F71" s="49" t="s">
        <v>229</v>
      </c>
      <c r="G71" s="49" t="s">
        <v>291</v>
      </c>
      <c r="H71" s="49" t="s">
        <v>667</v>
      </c>
      <c r="I71" s="143">
        <v>45931</v>
      </c>
      <c r="J71" s="143">
        <v>46295</v>
      </c>
      <c r="K71" s="142" t="s">
        <v>742</v>
      </c>
      <c r="L71" s="142" t="s">
        <v>742</v>
      </c>
      <c r="M71" s="138" t="s">
        <v>743</v>
      </c>
      <c r="N71" s="138" t="s">
        <v>744</v>
      </c>
      <c r="O71" s="141" t="s">
        <v>742</v>
      </c>
      <c r="P71" s="140" t="s">
        <v>745</v>
      </c>
      <c r="Q71" s="49" t="s">
        <v>363</v>
      </c>
      <c r="R71" s="49" t="s">
        <v>363</v>
      </c>
      <c r="S71" s="116" t="s">
        <v>376</v>
      </c>
      <c r="T71" s="119"/>
      <c r="U71" s="119">
        <v>0</v>
      </c>
      <c r="V71" s="119">
        <v>0</v>
      </c>
      <c r="W71" s="119"/>
      <c r="X71" s="119"/>
      <c r="Y71" s="119">
        <v>0</v>
      </c>
      <c r="Z71" s="28">
        <f t="shared" si="23"/>
        <v>0</v>
      </c>
      <c r="AA71" s="95"/>
      <c r="AB71" s="96"/>
      <c r="AC71" s="96"/>
      <c r="AD71" s="96"/>
      <c r="AE71" s="96"/>
      <c r="AF71" s="96"/>
      <c r="AG71" s="96"/>
      <c r="AH71" s="96"/>
      <c r="AI71" s="96"/>
      <c r="AJ71" s="96"/>
      <c r="AK71" s="96"/>
      <c r="AL71" s="96"/>
      <c r="AM71" s="95"/>
      <c r="AN71" s="95"/>
      <c r="AO71" s="95"/>
      <c r="AP71" s="95"/>
      <c r="AQ71" s="95"/>
      <c r="AR71" s="95"/>
      <c r="AS71" s="95"/>
      <c r="AT71" s="95"/>
      <c r="AU71" s="95"/>
      <c r="AV71" s="95"/>
      <c r="AW71" s="95"/>
      <c r="AX71" s="95"/>
      <c r="AY71" s="95"/>
      <c r="AZ71" s="95"/>
      <c r="BA71" s="95"/>
      <c r="BB71" s="95"/>
      <c r="BC71" s="95"/>
      <c r="BD71" s="95"/>
      <c r="BE71" s="95"/>
      <c r="BF71" s="95"/>
      <c r="BG71" s="95"/>
      <c r="BH71" s="95"/>
      <c r="BI71" s="95"/>
      <c r="BJ71" s="95"/>
      <c r="BK71" s="95"/>
      <c r="BL71" s="95"/>
      <c r="BM71" s="95"/>
      <c r="BN71" s="95"/>
      <c r="BO71" s="95"/>
      <c r="BP71" s="85">
        <f t="shared" si="18"/>
        <v>0</v>
      </c>
      <c r="BQ71" s="85">
        <f t="shared" si="19"/>
        <v>0</v>
      </c>
      <c r="BR71" s="85">
        <f t="shared" si="20"/>
        <v>0</v>
      </c>
      <c r="BS71" s="85">
        <f t="shared" si="21"/>
        <v>0</v>
      </c>
    </row>
    <row r="72" spans="1:71" s="84" customFormat="1" ht="108" customHeight="1" x14ac:dyDescent="0.25">
      <c r="A72" s="36" t="s">
        <v>604</v>
      </c>
      <c r="B72" s="138" t="s">
        <v>738</v>
      </c>
      <c r="C72" s="138" t="s">
        <v>746</v>
      </c>
      <c r="D72" s="30" t="str">
        <f t="shared" si="22"/>
        <v>1.7-9.3</v>
      </c>
      <c r="E72" s="138" t="s">
        <v>748</v>
      </c>
      <c r="F72" s="49" t="s">
        <v>229</v>
      </c>
      <c r="G72" s="49" t="s">
        <v>291</v>
      </c>
      <c r="H72" s="49" t="s">
        <v>667</v>
      </c>
      <c r="I72" s="143">
        <v>45931</v>
      </c>
      <c r="J72" s="143">
        <v>46295</v>
      </c>
      <c r="K72" s="142" t="s">
        <v>749</v>
      </c>
      <c r="L72" s="142" t="s">
        <v>742</v>
      </c>
      <c r="M72" s="138" t="s">
        <v>750</v>
      </c>
      <c r="N72" s="138" t="s">
        <v>744</v>
      </c>
      <c r="O72" s="141" t="s">
        <v>751</v>
      </c>
      <c r="P72" s="140" t="s">
        <v>745</v>
      </c>
      <c r="Q72" s="49" t="s">
        <v>363</v>
      </c>
      <c r="R72" s="49" t="s">
        <v>679</v>
      </c>
      <c r="S72" s="116" t="s">
        <v>376</v>
      </c>
      <c r="T72" s="119"/>
      <c r="U72" s="119">
        <v>0</v>
      </c>
      <c r="V72" s="119">
        <v>0</v>
      </c>
      <c r="W72" s="119"/>
      <c r="X72" s="119"/>
      <c r="Y72" s="119">
        <v>0</v>
      </c>
      <c r="Z72" s="28">
        <f t="shared" si="23"/>
        <v>0</v>
      </c>
      <c r="AA72" s="95"/>
      <c r="AB72" s="96"/>
      <c r="AC72" s="96"/>
      <c r="AD72" s="96"/>
      <c r="AE72" s="96"/>
      <c r="AF72" s="96"/>
      <c r="AG72" s="96"/>
      <c r="AH72" s="96"/>
      <c r="AI72" s="96"/>
      <c r="AJ72" s="96"/>
      <c r="AK72" s="96"/>
      <c r="AL72" s="96"/>
      <c r="AM72" s="95"/>
      <c r="AN72" s="95"/>
      <c r="AO72" s="95"/>
      <c r="AP72" s="95"/>
      <c r="AQ72" s="95"/>
      <c r="AR72" s="95"/>
      <c r="AS72" s="95"/>
      <c r="AT72" s="95"/>
      <c r="AU72" s="95"/>
      <c r="AV72" s="95"/>
      <c r="AW72" s="95"/>
      <c r="AX72" s="95"/>
      <c r="AY72" s="95"/>
      <c r="AZ72" s="95"/>
      <c r="BA72" s="95"/>
      <c r="BB72" s="95"/>
      <c r="BC72" s="95"/>
      <c r="BD72" s="95"/>
      <c r="BE72" s="95"/>
      <c r="BF72" s="95"/>
      <c r="BG72" s="95"/>
      <c r="BH72" s="95"/>
      <c r="BI72" s="95"/>
      <c r="BJ72" s="95"/>
      <c r="BK72" s="95"/>
      <c r="BL72" s="95"/>
      <c r="BM72" s="95"/>
      <c r="BN72" s="95"/>
      <c r="BO72" s="95"/>
      <c r="BP72" s="85">
        <f t="shared" si="18"/>
        <v>0</v>
      </c>
      <c r="BQ72" s="85">
        <f t="shared" si="19"/>
        <v>0</v>
      </c>
      <c r="BR72" s="85">
        <f t="shared" si="20"/>
        <v>0</v>
      </c>
      <c r="BS72" s="85">
        <f t="shared" si="21"/>
        <v>0</v>
      </c>
    </row>
    <row r="73" spans="1:71" s="84" customFormat="1" ht="201.6" customHeight="1" x14ac:dyDescent="0.25">
      <c r="A73" s="36" t="s">
        <v>604</v>
      </c>
      <c r="B73" s="32" t="s">
        <v>752</v>
      </c>
      <c r="C73" s="32" t="s">
        <v>753</v>
      </c>
      <c r="D73" s="30" t="str">
        <f t="shared" si="22"/>
        <v>1.7-11.1</v>
      </c>
      <c r="E73" s="32" t="s">
        <v>754</v>
      </c>
      <c r="F73" s="30" t="s">
        <v>229</v>
      </c>
      <c r="G73" s="49" t="s">
        <v>618</v>
      </c>
      <c r="H73" s="49"/>
      <c r="I73" s="58">
        <v>46113</v>
      </c>
      <c r="J73" s="58">
        <v>46172</v>
      </c>
      <c r="K73" s="62" t="s">
        <v>755</v>
      </c>
      <c r="L73" s="62" t="s">
        <v>756</v>
      </c>
      <c r="M73" s="32" t="s">
        <v>757</v>
      </c>
      <c r="N73" s="32" t="s">
        <v>758</v>
      </c>
      <c r="O73" s="41" t="s">
        <v>759</v>
      </c>
      <c r="P73" s="41" t="s">
        <v>760</v>
      </c>
      <c r="Q73" s="41" t="s">
        <v>363</v>
      </c>
      <c r="R73" s="41" t="s">
        <v>363</v>
      </c>
      <c r="S73" s="56" t="s">
        <v>761</v>
      </c>
      <c r="T73" s="119">
        <v>0</v>
      </c>
      <c r="U73" s="119">
        <v>0</v>
      </c>
      <c r="V73" s="119">
        <v>0</v>
      </c>
      <c r="W73" s="119">
        <v>2000000</v>
      </c>
      <c r="X73" s="119">
        <v>10000000</v>
      </c>
      <c r="Y73" s="119">
        <v>19000000</v>
      </c>
      <c r="Z73" s="28">
        <f t="shared" si="23"/>
        <v>31000000</v>
      </c>
      <c r="AA73" s="95"/>
      <c r="AB73" s="96"/>
      <c r="AC73" s="96"/>
      <c r="AD73" s="96"/>
      <c r="AE73" s="96"/>
      <c r="AF73" s="96"/>
      <c r="AG73" s="96"/>
      <c r="AH73" s="96"/>
      <c r="AI73" s="96"/>
      <c r="AJ73" s="96"/>
      <c r="AK73" s="96"/>
      <c r="AL73" s="96"/>
      <c r="AM73" s="95"/>
      <c r="AN73" s="95"/>
      <c r="AO73" s="95"/>
      <c r="AP73" s="95"/>
      <c r="AQ73" s="95"/>
      <c r="AR73" s="95"/>
      <c r="AS73" s="95"/>
      <c r="AT73" s="95"/>
      <c r="AU73" s="95"/>
      <c r="AV73" s="95"/>
      <c r="AW73" s="95"/>
      <c r="AX73" s="95"/>
      <c r="AY73" s="95"/>
      <c r="AZ73" s="95"/>
      <c r="BA73" s="95"/>
      <c r="BB73" s="95"/>
      <c r="BC73" s="95"/>
      <c r="BD73" s="95"/>
      <c r="BE73" s="95"/>
      <c r="BF73" s="95"/>
      <c r="BG73" s="95"/>
      <c r="BH73" s="95"/>
      <c r="BI73" s="104">
        <v>2000000</v>
      </c>
      <c r="BJ73" s="104">
        <v>10000000</v>
      </c>
      <c r="BK73" s="104">
        <v>19000000</v>
      </c>
      <c r="BL73" s="95"/>
      <c r="BM73" s="95"/>
      <c r="BN73" s="95"/>
      <c r="BO73" s="95"/>
      <c r="BP73" s="85">
        <f t="shared" si="18"/>
        <v>0</v>
      </c>
      <c r="BQ73" s="85">
        <f t="shared" si="19"/>
        <v>0</v>
      </c>
      <c r="BR73" s="85">
        <f t="shared" si="20"/>
        <v>0</v>
      </c>
      <c r="BS73" s="85">
        <f t="shared" si="21"/>
        <v>0</v>
      </c>
    </row>
    <row r="74" spans="1:71" s="84" customFormat="1" ht="201.6" customHeight="1" x14ac:dyDescent="0.25">
      <c r="A74" s="36" t="s">
        <v>604</v>
      </c>
      <c r="B74" s="32" t="s">
        <v>752</v>
      </c>
      <c r="C74" s="32" t="s">
        <v>753</v>
      </c>
      <c r="D74" s="30" t="str">
        <f t="shared" si="22"/>
        <v>1.7-11.2</v>
      </c>
      <c r="E74" s="32" t="s">
        <v>762</v>
      </c>
      <c r="F74" s="30" t="s">
        <v>229</v>
      </c>
      <c r="G74" s="49" t="s">
        <v>291</v>
      </c>
      <c r="H74" s="49" t="s">
        <v>505</v>
      </c>
      <c r="I74" s="58">
        <v>46023</v>
      </c>
      <c r="J74" s="58">
        <v>46203</v>
      </c>
      <c r="K74" s="62" t="s">
        <v>763</v>
      </c>
      <c r="L74" s="62" t="s">
        <v>756</v>
      </c>
      <c r="M74" s="32"/>
      <c r="N74" s="32" t="s">
        <v>758</v>
      </c>
      <c r="O74" s="41" t="s">
        <v>764</v>
      </c>
      <c r="P74" s="41" t="s">
        <v>760</v>
      </c>
      <c r="Q74" s="41" t="s">
        <v>516</v>
      </c>
      <c r="R74" s="41" t="s">
        <v>516</v>
      </c>
      <c r="S74" s="56" t="s">
        <v>765</v>
      </c>
      <c r="T74" s="119"/>
      <c r="U74" s="119">
        <v>3971668</v>
      </c>
      <c r="V74" s="119">
        <v>3971668</v>
      </c>
      <c r="W74" s="119">
        <v>0</v>
      </c>
      <c r="X74" s="119">
        <v>0</v>
      </c>
      <c r="Y74" s="119">
        <v>0</v>
      </c>
      <c r="Z74" s="28">
        <f t="shared" si="23"/>
        <v>7943336</v>
      </c>
      <c r="AA74" s="95"/>
      <c r="AB74" s="95"/>
      <c r="AC74" s="95"/>
      <c r="AD74" s="96"/>
      <c r="AE74" s="104">
        <f>W74</f>
        <v>0</v>
      </c>
      <c r="AF74" s="104">
        <f>X74</f>
        <v>0</v>
      </c>
      <c r="AG74" s="96"/>
      <c r="AH74" s="96"/>
      <c r="AI74" s="96"/>
      <c r="AJ74" s="96"/>
      <c r="AK74" s="96"/>
      <c r="AL74" s="96"/>
      <c r="AM74" s="95"/>
      <c r="AN74" s="95"/>
      <c r="AO74" s="95"/>
      <c r="AP74" s="95"/>
      <c r="AQ74" s="95"/>
      <c r="AR74" s="95"/>
      <c r="AS74" s="95"/>
      <c r="AT74" s="95"/>
      <c r="AU74" s="95"/>
      <c r="AV74" s="95"/>
      <c r="AW74" s="95"/>
      <c r="AX74" s="95"/>
      <c r="AY74" s="95"/>
      <c r="AZ74" s="95"/>
      <c r="BA74" s="95"/>
      <c r="BB74" s="95"/>
      <c r="BC74" s="95"/>
      <c r="BD74" s="95"/>
      <c r="BE74" s="95"/>
      <c r="BF74" s="95"/>
      <c r="BG74" s="95"/>
      <c r="BH74" s="95"/>
      <c r="BI74" s="95"/>
      <c r="BJ74" s="95"/>
      <c r="BK74" s="95"/>
      <c r="BL74" s="95"/>
      <c r="BM74" s="95"/>
      <c r="BN74" s="95"/>
      <c r="BO74" s="95"/>
      <c r="BP74" s="85">
        <f t="shared" si="18"/>
        <v>0</v>
      </c>
      <c r="BQ74" s="85">
        <f t="shared" si="19"/>
        <v>3971668</v>
      </c>
      <c r="BR74" s="85">
        <f t="shared" si="20"/>
        <v>0</v>
      </c>
      <c r="BS74" s="85">
        <f t="shared" si="21"/>
        <v>0</v>
      </c>
    </row>
    <row r="75" spans="1:71" s="84" customFormat="1" ht="155.1" customHeight="1" x14ac:dyDescent="0.25">
      <c r="A75" s="36" t="s">
        <v>604</v>
      </c>
      <c r="B75" s="138" t="s">
        <v>766</v>
      </c>
      <c r="C75" s="138" t="s">
        <v>767</v>
      </c>
      <c r="D75" s="30" t="str">
        <f t="shared" si="22"/>
        <v>1.7-12.1</v>
      </c>
      <c r="E75" s="138" t="s">
        <v>768</v>
      </c>
      <c r="F75" s="30" t="s">
        <v>229</v>
      </c>
      <c r="G75" s="49" t="s">
        <v>355</v>
      </c>
      <c r="H75" s="49" t="s">
        <v>419</v>
      </c>
      <c r="I75" s="58">
        <v>46082</v>
      </c>
      <c r="J75" s="58">
        <v>46203</v>
      </c>
      <c r="K75" s="32"/>
      <c r="L75" s="62" t="s">
        <v>769</v>
      </c>
      <c r="M75" s="62" t="s">
        <v>770</v>
      </c>
      <c r="N75" s="32" t="s">
        <v>771</v>
      </c>
      <c r="O75" s="139" t="s">
        <v>772</v>
      </c>
      <c r="P75" s="41"/>
      <c r="Q75" s="41" t="s">
        <v>363</v>
      </c>
      <c r="R75" s="41" t="s">
        <v>466</v>
      </c>
      <c r="S75" s="56" t="s">
        <v>773</v>
      </c>
      <c r="T75" s="119"/>
      <c r="U75" s="119">
        <v>0</v>
      </c>
      <c r="V75" s="119">
        <v>0</v>
      </c>
      <c r="W75" s="119"/>
      <c r="X75" s="119"/>
      <c r="Y75" s="119">
        <v>0</v>
      </c>
      <c r="Z75" s="28">
        <f t="shared" si="23"/>
        <v>0</v>
      </c>
      <c r="AA75" s="95"/>
      <c r="AB75" s="96"/>
      <c r="AC75" s="96"/>
      <c r="AD75" s="96"/>
      <c r="AE75" s="96"/>
      <c r="AF75" s="96"/>
      <c r="AG75" s="96"/>
      <c r="AH75" s="96"/>
      <c r="AI75" s="96"/>
      <c r="AJ75" s="96"/>
      <c r="AK75" s="96"/>
      <c r="AL75" s="96"/>
      <c r="AM75" s="95"/>
      <c r="AN75" s="95"/>
      <c r="AO75" s="95"/>
      <c r="AP75" s="95"/>
      <c r="AQ75" s="95"/>
      <c r="AR75" s="95"/>
      <c r="AS75" s="95"/>
      <c r="AT75" s="95"/>
      <c r="AU75" s="95"/>
      <c r="AV75" s="95"/>
      <c r="AW75" s="95"/>
      <c r="AX75" s="95"/>
      <c r="AY75" s="95"/>
      <c r="AZ75" s="95"/>
      <c r="BA75" s="95"/>
      <c r="BB75" s="95"/>
      <c r="BC75" s="95"/>
      <c r="BD75" s="95"/>
      <c r="BE75" s="95"/>
      <c r="BF75" s="95"/>
      <c r="BG75" s="95"/>
      <c r="BH75" s="95"/>
      <c r="BI75" s="95"/>
      <c r="BJ75" s="95"/>
      <c r="BK75" s="95"/>
      <c r="BL75" s="95"/>
      <c r="BM75" s="95"/>
      <c r="BN75" s="95"/>
      <c r="BO75" s="95"/>
      <c r="BP75" s="85">
        <f t="shared" si="18"/>
        <v>0</v>
      </c>
      <c r="BQ75" s="85">
        <f t="shared" si="19"/>
        <v>0</v>
      </c>
      <c r="BR75" s="85">
        <f t="shared" si="20"/>
        <v>0</v>
      </c>
      <c r="BS75" s="85">
        <f t="shared" si="21"/>
        <v>0</v>
      </c>
    </row>
    <row r="76" spans="1:71" s="84" customFormat="1" ht="155.1" customHeight="1" x14ac:dyDescent="0.25">
      <c r="A76" s="36" t="s">
        <v>604</v>
      </c>
      <c r="B76" s="138" t="s">
        <v>766</v>
      </c>
      <c r="C76" s="138" t="s">
        <v>767</v>
      </c>
      <c r="D76" s="30" t="str">
        <f t="shared" si="22"/>
        <v>1.7-12.2</v>
      </c>
      <c r="E76" s="138" t="s">
        <v>774</v>
      </c>
      <c r="F76" s="30" t="s">
        <v>229</v>
      </c>
      <c r="G76" s="49" t="s">
        <v>355</v>
      </c>
      <c r="H76" s="49" t="s">
        <v>419</v>
      </c>
      <c r="I76" s="58">
        <v>46082</v>
      </c>
      <c r="J76" s="58">
        <v>46203</v>
      </c>
      <c r="K76" s="32"/>
      <c r="L76" s="62" t="s">
        <v>769</v>
      </c>
      <c r="M76" s="32" t="s">
        <v>770</v>
      </c>
      <c r="N76" s="32" t="s">
        <v>771</v>
      </c>
      <c r="O76" s="41" t="s">
        <v>775</v>
      </c>
      <c r="P76" s="41"/>
      <c r="Q76" s="41" t="s">
        <v>363</v>
      </c>
      <c r="R76" s="41" t="s">
        <v>363</v>
      </c>
      <c r="S76" s="56" t="s">
        <v>376</v>
      </c>
      <c r="T76" s="119"/>
      <c r="U76" s="119">
        <v>0</v>
      </c>
      <c r="V76" s="119">
        <v>0</v>
      </c>
      <c r="W76" s="119"/>
      <c r="X76" s="119"/>
      <c r="Y76" s="119">
        <v>0</v>
      </c>
      <c r="Z76" s="28">
        <f t="shared" si="23"/>
        <v>0</v>
      </c>
      <c r="AA76" s="95"/>
      <c r="AB76" s="96"/>
      <c r="AC76" s="96"/>
      <c r="AD76" s="96"/>
      <c r="AE76" s="96"/>
      <c r="AF76" s="96"/>
      <c r="AG76" s="96"/>
      <c r="AH76" s="96"/>
      <c r="AI76" s="96"/>
      <c r="AJ76" s="96"/>
      <c r="AK76" s="96"/>
      <c r="AL76" s="96"/>
      <c r="AM76" s="95"/>
      <c r="AN76" s="95"/>
      <c r="AO76" s="95"/>
      <c r="AP76" s="95"/>
      <c r="AQ76" s="95"/>
      <c r="AR76" s="95"/>
      <c r="AS76" s="95"/>
      <c r="AT76" s="95"/>
      <c r="AU76" s="95"/>
      <c r="AV76" s="95"/>
      <c r="AW76" s="95"/>
      <c r="AX76" s="95"/>
      <c r="AY76" s="95"/>
      <c r="AZ76" s="95"/>
      <c r="BA76" s="95"/>
      <c r="BB76" s="95"/>
      <c r="BC76" s="95"/>
      <c r="BD76" s="95"/>
      <c r="BE76" s="95"/>
      <c r="BF76" s="95"/>
      <c r="BG76" s="95"/>
      <c r="BH76" s="95"/>
      <c r="BI76" s="95"/>
      <c r="BJ76" s="95"/>
      <c r="BK76" s="95"/>
      <c r="BL76" s="95"/>
      <c r="BM76" s="95"/>
      <c r="BN76" s="95"/>
      <c r="BO76" s="95"/>
      <c r="BP76" s="85">
        <f t="shared" si="18"/>
        <v>0</v>
      </c>
      <c r="BQ76" s="85">
        <f t="shared" si="19"/>
        <v>0</v>
      </c>
      <c r="BR76" s="85">
        <f t="shared" si="20"/>
        <v>0</v>
      </c>
      <c r="BS76" s="85">
        <f t="shared" si="21"/>
        <v>0</v>
      </c>
    </row>
    <row r="77" spans="1:71" s="84" customFormat="1" ht="155.1" customHeight="1" x14ac:dyDescent="0.25">
      <c r="A77" s="36" t="s">
        <v>604</v>
      </c>
      <c r="B77" s="138" t="s">
        <v>766</v>
      </c>
      <c r="C77" s="138" t="s">
        <v>767</v>
      </c>
      <c r="D77" s="30" t="str">
        <f t="shared" si="22"/>
        <v>1.7-12.3</v>
      </c>
      <c r="E77" s="138" t="s">
        <v>776</v>
      </c>
      <c r="F77" s="30" t="s">
        <v>229</v>
      </c>
      <c r="G77" s="49" t="s">
        <v>355</v>
      </c>
      <c r="H77" s="49" t="s">
        <v>419</v>
      </c>
      <c r="I77" s="58">
        <v>46082</v>
      </c>
      <c r="J77" s="58">
        <v>46203</v>
      </c>
      <c r="K77" s="32"/>
      <c r="L77" s="62" t="s">
        <v>769</v>
      </c>
      <c r="M77" s="32" t="s">
        <v>770</v>
      </c>
      <c r="N77" s="32" t="s">
        <v>771</v>
      </c>
      <c r="O77" s="139" t="s">
        <v>777</v>
      </c>
      <c r="P77" s="41"/>
      <c r="Q77" s="41" t="s">
        <v>363</v>
      </c>
      <c r="R77" s="41" t="s">
        <v>363</v>
      </c>
      <c r="S77" s="56" t="s">
        <v>376</v>
      </c>
      <c r="T77" s="119"/>
      <c r="U77" s="119">
        <v>0</v>
      </c>
      <c r="V77" s="119">
        <v>0</v>
      </c>
      <c r="W77" s="119"/>
      <c r="X77" s="119">
        <v>0</v>
      </c>
      <c r="Y77" s="119">
        <v>0</v>
      </c>
      <c r="Z77" s="28">
        <f t="shared" si="23"/>
        <v>0</v>
      </c>
      <c r="AA77" s="95"/>
      <c r="AB77" s="96"/>
      <c r="AC77" s="96"/>
      <c r="AD77" s="96"/>
      <c r="AE77" s="96"/>
      <c r="AF77" s="96"/>
      <c r="AG77" s="96"/>
      <c r="AH77" s="96"/>
      <c r="AI77" s="96"/>
      <c r="AJ77" s="96"/>
      <c r="AK77" s="96"/>
      <c r="AL77" s="96"/>
      <c r="AM77" s="95"/>
      <c r="AN77" s="95"/>
      <c r="AO77" s="95"/>
      <c r="AP77" s="95"/>
      <c r="AQ77" s="95"/>
      <c r="AR77" s="104">
        <f>X77</f>
        <v>0</v>
      </c>
      <c r="AS77" s="95"/>
      <c r="AT77" s="95"/>
      <c r="AU77" s="95"/>
      <c r="AV77" s="95"/>
      <c r="AW77" s="95"/>
      <c r="AX77" s="95"/>
      <c r="AY77" s="95"/>
      <c r="AZ77" s="95"/>
      <c r="BA77" s="95"/>
      <c r="BB77" s="95"/>
      <c r="BC77" s="95"/>
      <c r="BD77" s="95"/>
      <c r="BE77" s="95"/>
      <c r="BF77" s="95"/>
      <c r="BG77" s="95"/>
      <c r="BH77" s="95"/>
      <c r="BI77" s="95"/>
      <c r="BJ77" s="95"/>
      <c r="BK77" s="95"/>
      <c r="BL77" s="95"/>
      <c r="BM77" s="95"/>
      <c r="BN77" s="95"/>
      <c r="BO77" s="95"/>
      <c r="BP77" s="85">
        <f t="shared" si="18"/>
        <v>0</v>
      </c>
      <c r="BQ77" s="85">
        <f t="shared" si="19"/>
        <v>0</v>
      </c>
      <c r="BR77" s="85">
        <f t="shared" si="20"/>
        <v>0</v>
      </c>
      <c r="BS77" s="85">
        <f t="shared" si="21"/>
        <v>0</v>
      </c>
    </row>
    <row r="78" spans="1:71" s="84" customFormat="1" ht="155.1" customHeight="1" x14ac:dyDescent="0.25">
      <c r="A78" s="36" t="s">
        <v>604</v>
      </c>
      <c r="B78" s="138" t="s">
        <v>766</v>
      </c>
      <c r="C78" s="138" t="s">
        <v>767</v>
      </c>
      <c r="D78" s="30" t="str">
        <f t="shared" si="22"/>
        <v>1.7-12.4</v>
      </c>
      <c r="E78" s="138" t="s">
        <v>778</v>
      </c>
      <c r="F78" s="30" t="s">
        <v>229</v>
      </c>
      <c r="G78" s="49" t="s">
        <v>355</v>
      </c>
      <c r="H78" s="49" t="s">
        <v>419</v>
      </c>
      <c r="I78" s="58">
        <v>46082</v>
      </c>
      <c r="J78" s="58">
        <v>46203</v>
      </c>
      <c r="K78" s="32"/>
      <c r="L78" s="62" t="s">
        <v>769</v>
      </c>
      <c r="M78" s="32" t="s">
        <v>770</v>
      </c>
      <c r="N78" s="32" t="s">
        <v>771</v>
      </c>
      <c r="O78" s="41" t="s">
        <v>779</v>
      </c>
      <c r="P78" s="41"/>
      <c r="Q78" s="41" t="s">
        <v>363</v>
      </c>
      <c r="R78" s="41" t="s">
        <v>363</v>
      </c>
      <c r="S78" s="56" t="s">
        <v>376</v>
      </c>
      <c r="T78" s="119"/>
      <c r="U78" s="119">
        <v>0</v>
      </c>
      <c r="V78" s="119">
        <v>0</v>
      </c>
      <c r="W78" s="119"/>
      <c r="X78" s="119">
        <v>0</v>
      </c>
      <c r="Y78" s="119">
        <v>0</v>
      </c>
      <c r="Z78" s="28">
        <f t="shared" si="23"/>
        <v>0</v>
      </c>
      <c r="AA78" s="95"/>
      <c r="AB78" s="96"/>
      <c r="AC78" s="96"/>
      <c r="AD78" s="96"/>
      <c r="AE78" s="96"/>
      <c r="AF78" s="96"/>
      <c r="AG78" s="96"/>
      <c r="AH78" s="96"/>
      <c r="AI78" s="96"/>
      <c r="AJ78" s="96"/>
      <c r="AK78" s="96"/>
      <c r="AL78" s="96"/>
      <c r="AM78" s="95"/>
      <c r="AN78" s="95"/>
      <c r="AO78" s="96"/>
      <c r="AP78" s="95"/>
      <c r="AQ78" s="95"/>
      <c r="AR78" s="104">
        <f>X78</f>
        <v>0</v>
      </c>
      <c r="AS78" s="95"/>
      <c r="AT78" s="95"/>
      <c r="AU78" s="95"/>
      <c r="AV78" s="95"/>
      <c r="AW78" s="95"/>
      <c r="AX78" s="95"/>
      <c r="AY78" s="95"/>
      <c r="AZ78" s="95"/>
      <c r="BA78" s="95"/>
      <c r="BB78" s="95"/>
      <c r="BC78" s="95"/>
      <c r="BD78" s="95"/>
      <c r="BE78" s="95"/>
      <c r="BF78" s="95"/>
      <c r="BG78" s="95"/>
      <c r="BH78" s="95"/>
      <c r="BI78" s="95"/>
      <c r="BJ78" s="95"/>
      <c r="BK78" s="95"/>
      <c r="BL78" s="95"/>
      <c r="BM78" s="95"/>
      <c r="BN78" s="95"/>
      <c r="BO78" s="95"/>
      <c r="BP78" s="85">
        <f t="shared" si="18"/>
        <v>0</v>
      </c>
      <c r="BQ78" s="85">
        <f t="shared" si="19"/>
        <v>0</v>
      </c>
      <c r="BR78" s="85">
        <f t="shared" si="20"/>
        <v>0</v>
      </c>
      <c r="BS78" s="85">
        <f t="shared" si="21"/>
        <v>0</v>
      </c>
    </row>
    <row r="79" spans="1:71" s="84" customFormat="1" ht="155.1" customHeight="1" x14ac:dyDescent="0.25">
      <c r="A79" s="36" t="s">
        <v>604</v>
      </c>
      <c r="B79" s="138" t="s">
        <v>766</v>
      </c>
      <c r="C79" s="138" t="s">
        <v>767</v>
      </c>
      <c r="D79" s="30" t="str">
        <f t="shared" si="22"/>
        <v>1.7-12.5</v>
      </c>
      <c r="E79" s="138" t="s">
        <v>780</v>
      </c>
      <c r="F79" s="30" t="s">
        <v>229</v>
      </c>
      <c r="G79" s="49" t="s">
        <v>355</v>
      </c>
      <c r="H79" s="49" t="s">
        <v>419</v>
      </c>
      <c r="I79" s="58">
        <v>46082</v>
      </c>
      <c r="J79" s="58">
        <v>46203</v>
      </c>
      <c r="K79" s="32"/>
      <c r="L79" s="62" t="s">
        <v>769</v>
      </c>
      <c r="M79" s="32" t="s">
        <v>770</v>
      </c>
      <c r="N79" s="32" t="s">
        <v>771</v>
      </c>
      <c r="O79" s="139" t="s">
        <v>781</v>
      </c>
      <c r="P79" s="41"/>
      <c r="Q79" s="41" t="s">
        <v>363</v>
      </c>
      <c r="R79" s="41" t="s">
        <v>363</v>
      </c>
      <c r="S79" s="56" t="s">
        <v>782</v>
      </c>
      <c r="T79" s="119"/>
      <c r="U79" s="119">
        <v>0</v>
      </c>
      <c r="V79" s="119">
        <v>0</v>
      </c>
      <c r="W79" s="119"/>
      <c r="X79" s="119">
        <v>18377990</v>
      </c>
      <c r="Y79" s="119">
        <v>0</v>
      </c>
      <c r="Z79" s="28">
        <f t="shared" si="23"/>
        <v>18377990</v>
      </c>
      <c r="AA79" s="95"/>
      <c r="AB79" s="96"/>
      <c r="AC79" s="96"/>
      <c r="AD79" s="96"/>
      <c r="AE79" s="96"/>
      <c r="AF79" s="96"/>
      <c r="AG79" s="96"/>
      <c r="AH79" s="96"/>
      <c r="AI79" s="96"/>
      <c r="AJ79" s="96"/>
      <c r="AK79" s="96"/>
      <c r="AL79" s="96"/>
      <c r="AM79" s="95"/>
      <c r="AN79" s="95"/>
      <c r="AO79" s="96"/>
      <c r="AP79" s="95"/>
      <c r="AQ79" s="95"/>
      <c r="AR79" s="104">
        <f>X79</f>
        <v>18377990</v>
      </c>
      <c r="AS79" s="95"/>
      <c r="AT79" s="95"/>
      <c r="AU79" s="95"/>
      <c r="AV79" s="95"/>
      <c r="AW79" s="95"/>
      <c r="AX79" s="95"/>
      <c r="AY79" s="95"/>
      <c r="AZ79" s="95"/>
      <c r="BA79" s="95"/>
      <c r="BB79" s="95"/>
      <c r="BC79" s="95"/>
      <c r="BD79" s="95"/>
      <c r="BE79" s="95"/>
      <c r="BF79" s="95"/>
      <c r="BG79" s="95"/>
      <c r="BH79" s="95"/>
      <c r="BI79" s="95"/>
      <c r="BJ79" s="95"/>
      <c r="BK79" s="95"/>
      <c r="BL79" s="95"/>
      <c r="BM79" s="95"/>
      <c r="BN79" s="95"/>
      <c r="BO79" s="95"/>
      <c r="BP79" s="85">
        <f t="shared" si="18"/>
        <v>0</v>
      </c>
      <c r="BQ79" s="85">
        <f t="shared" si="19"/>
        <v>0</v>
      </c>
      <c r="BR79" s="85">
        <f t="shared" si="20"/>
        <v>0</v>
      </c>
      <c r="BS79" s="85">
        <f t="shared" si="21"/>
        <v>0</v>
      </c>
    </row>
    <row r="80" spans="1:71" s="84" customFormat="1" ht="155.1" customHeight="1" x14ac:dyDescent="0.25">
      <c r="A80" s="36" t="s">
        <v>604</v>
      </c>
      <c r="B80" s="138" t="s">
        <v>766</v>
      </c>
      <c r="C80" s="138" t="s">
        <v>767</v>
      </c>
      <c r="D80" s="30" t="str">
        <f t="shared" si="22"/>
        <v>1.7-12.6</v>
      </c>
      <c r="E80" s="138" t="s">
        <v>783</v>
      </c>
      <c r="F80" s="30" t="s">
        <v>229</v>
      </c>
      <c r="G80" s="49" t="s">
        <v>355</v>
      </c>
      <c r="H80" s="49" t="s">
        <v>419</v>
      </c>
      <c r="I80" s="58">
        <v>46082</v>
      </c>
      <c r="J80" s="58">
        <v>46203</v>
      </c>
      <c r="K80" s="32"/>
      <c r="L80" s="62" t="s">
        <v>769</v>
      </c>
      <c r="M80" s="32" t="s">
        <v>770</v>
      </c>
      <c r="N80" s="32" t="s">
        <v>771</v>
      </c>
      <c r="O80" s="41" t="s">
        <v>784</v>
      </c>
      <c r="P80" s="41"/>
      <c r="Q80" s="41" t="s">
        <v>363</v>
      </c>
      <c r="R80" s="41" t="s">
        <v>363</v>
      </c>
      <c r="S80" s="56" t="s">
        <v>376</v>
      </c>
      <c r="T80" s="119"/>
      <c r="U80" s="119">
        <v>0</v>
      </c>
      <c r="V80" s="119">
        <v>0</v>
      </c>
      <c r="W80" s="119"/>
      <c r="X80" s="119">
        <v>0</v>
      </c>
      <c r="Y80" s="119">
        <v>0</v>
      </c>
      <c r="Z80" s="28">
        <f t="shared" si="23"/>
        <v>0</v>
      </c>
      <c r="AA80" s="95"/>
      <c r="AB80" s="96"/>
      <c r="AC80" s="96"/>
      <c r="AD80" s="96"/>
      <c r="AE80" s="96"/>
      <c r="AF80" s="96"/>
      <c r="AG80" s="96"/>
      <c r="AH80" s="96"/>
      <c r="AI80" s="96"/>
      <c r="AJ80" s="96"/>
      <c r="AK80" s="96"/>
      <c r="AL80" s="96"/>
      <c r="AM80" s="95"/>
      <c r="AN80" s="95"/>
      <c r="AO80" s="96"/>
      <c r="AP80" s="95"/>
      <c r="AQ80" s="95"/>
      <c r="AR80" s="104">
        <f>X80</f>
        <v>0</v>
      </c>
      <c r="AS80" s="95"/>
      <c r="AT80" s="95"/>
      <c r="AU80" s="95"/>
      <c r="AV80" s="95"/>
      <c r="AW80" s="95"/>
      <c r="AX80" s="95"/>
      <c r="AY80" s="95"/>
      <c r="AZ80" s="95"/>
      <c r="BA80" s="95"/>
      <c r="BB80" s="95"/>
      <c r="BC80" s="95"/>
      <c r="BD80" s="95"/>
      <c r="BE80" s="95"/>
      <c r="BF80" s="95"/>
      <c r="BG80" s="95"/>
      <c r="BH80" s="95"/>
      <c r="BI80" s="95"/>
      <c r="BJ80" s="95"/>
      <c r="BK80" s="95"/>
      <c r="BL80" s="95"/>
      <c r="BM80" s="95"/>
      <c r="BN80" s="95"/>
      <c r="BO80" s="95"/>
      <c r="BP80" s="85">
        <f t="shared" si="18"/>
        <v>0</v>
      </c>
      <c r="BQ80" s="85">
        <f t="shared" si="19"/>
        <v>0</v>
      </c>
      <c r="BR80" s="85">
        <f t="shared" si="20"/>
        <v>0</v>
      </c>
      <c r="BS80" s="85">
        <f t="shared" si="21"/>
        <v>0</v>
      </c>
    </row>
    <row r="81" spans="1:71" s="84" customFormat="1" ht="155.1" customHeight="1" x14ac:dyDescent="0.25">
      <c r="A81" s="36" t="s">
        <v>604</v>
      </c>
      <c r="B81" s="138" t="s">
        <v>766</v>
      </c>
      <c r="C81" s="138" t="s">
        <v>767</v>
      </c>
      <c r="D81" s="30" t="str">
        <f t="shared" si="22"/>
        <v>1.7-12.7</v>
      </c>
      <c r="E81" s="138" t="s">
        <v>785</v>
      </c>
      <c r="F81" s="30" t="s">
        <v>229</v>
      </c>
      <c r="G81" s="49" t="s">
        <v>355</v>
      </c>
      <c r="H81" s="49" t="s">
        <v>419</v>
      </c>
      <c r="I81" s="58">
        <v>46174</v>
      </c>
      <c r="J81" s="58">
        <v>46203</v>
      </c>
      <c r="K81" s="32"/>
      <c r="L81" s="62" t="s">
        <v>769</v>
      </c>
      <c r="M81" s="32" t="s">
        <v>770</v>
      </c>
      <c r="N81" s="32" t="s">
        <v>771</v>
      </c>
      <c r="O81" s="41" t="s">
        <v>786</v>
      </c>
      <c r="P81" s="41"/>
      <c r="Q81" s="41" t="s">
        <v>363</v>
      </c>
      <c r="R81" s="41" t="s">
        <v>363</v>
      </c>
      <c r="S81" s="56" t="s">
        <v>376</v>
      </c>
      <c r="T81" s="119"/>
      <c r="U81" s="119">
        <v>0</v>
      </c>
      <c r="V81" s="119">
        <v>0</v>
      </c>
      <c r="W81" s="119"/>
      <c r="X81" s="119">
        <v>0</v>
      </c>
      <c r="Y81" s="119">
        <v>0</v>
      </c>
      <c r="Z81" s="28">
        <f t="shared" si="23"/>
        <v>0</v>
      </c>
      <c r="AA81" s="95"/>
      <c r="AB81" s="96"/>
      <c r="AC81" s="96"/>
      <c r="AD81" s="96"/>
      <c r="AE81" s="96"/>
      <c r="AF81" s="96"/>
      <c r="AG81" s="96"/>
      <c r="AH81" s="96"/>
      <c r="AI81" s="96"/>
      <c r="AJ81" s="96"/>
      <c r="AK81" s="96"/>
      <c r="AL81" s="96"/>
      <c r="AM81" s="95"/>
      <c r="AN81" s="95"/>
      <c r="AO81" s="95"/>
      <c r="AP81" s="95"/>
      <c r="AQ81" s="95"/>
      <c r="AR81" s="95"/>
      <c r="AS81" s="95"/>
      <c r="AT81" s="95"/>
      <c r="AU81" s="95"/>
      <c r="AV81" s="95"/>
      <c r="AW81" s="95"/>
      <c r="AX81" s="95"/>
      <c r="AY81" s="95"/>
      <c r="AZ81" s="95"/>
      <c r="BA81" s="95"/>
      <c r="BB81" s="95"/>
      <c r="BC81" s="95"/>
      <c r="BD81" s="95"/>
      <c r="BE81" s="95"/>
      <c r="BF81" s="95"/>
      <c r="BG81" s="95"/>
      <c r="BH81" s="95"/>
      <c r="BI81" s="95"/>
      <c r="BJ81" s="95"/>
      <c r="BK81" s="95"/>
      <c r="BL81" s="95"/>
      <c r="BM81" s="95"/>
      <c r="BN81" s="95"/>
      <c r="BO81" s="95"/>
      <c r="BP81" s="85">
        <f t="shared" si="18"/>
        <v>0</v>
      </c>
      <c r="BQ81" s="85">
        <f t="shared" si="19"/>
        <v>0</v>
      </c>
      <c r="BR81" s="85">
        <f t="shared" si="20"/>
        <v>0</v>
      </c>
      <c r="BS81" s="85">
        <f t="shared" si="21"/>
        <v>0</v>
      </c>
    </row>
    <row r="82" spans="1:71" s="84" customFormat="1" ht="155.1" customHeight="1" x14ac:dyDescent="0.25">
      <c r="A82" s="36" t="s">
        <v>604</v>
      </c>
      <c r="B82" s="138" t="s">
        <v>766</v>
      </c>
      <c r="C82" s="138" t="s">
        <v>767</v>
      </c>
      <c r="D82" s="30" t="str">
        <f t="shared" si="22"/>
        <v>1.7-12.8</v>
      </c>
      <c r="E82" s="138" t="s">
        <v>787</v>
      </c>
      <c r="F82" s="30" t="s">
        <v>229</v>
      </c>
      <c r="G82" s="49" t="s">
        <v>355</v>
      </c>
      <c r="H82" s="49" t="s">
        <v>419</v>
      </c>
      <c r="I82" s="58">
        <v>46174</v>
      </c>
      <c r="J82" s="58">
        <v>46265</v>
      </c>
      <c r="K82" s="32"/>
      <c r="L82" s="62" t="s">
        <v>769</v>
      </c>
      <c r="M82" s="32" t="s">
        <v>770</v>
      </c>
      <c r="N82" s="32" t="s">
        <v>771</v>
      </c>
      <c r="O82" s="41" t="s">
        <v>788</v>
      </c>
      <c r="P82" s="41"/>
      <c r="Q82" s="41" t="s">
        <v>363</v>
      </c>
      <c r="R82" s="41" t="s">
        <v>363</v>
      </c>
      <c r="S82" s="56" t="s">
        <v>376</v>
      </c>
      <c r="T82" s="119"/>
      <c r="U82" s="119">
        <v>0</v>
      </c>
      <c r="V82" s="119">
        <v>0</v>
      </c>
      <c r="W82" s="119"/>
      <c r="X82" s="119">
        <v>0</v>
      </c>
      <c r="Y82" s="119">
        <v>0</v>
      </c>
      <c r="Z82" s="28">
        <f t="shared" si="23"/>
        <v>0</v>
      </c>
      <c r="AA82" s="95"/>
      <c r="AB82" s="96"/>
      <c r="AC82" s="96"/>
      <c r="AD82" s="96"/>
      <c r="AE82" s="96"/>
      <c r="AF82" s="96"/>
      <c r="AG82" s="96"/>
      <c r="AH82" s="96"/>
      <c r="AI82" s="96"/>
      <c r="AJ82" s="96"/>
      <c r="AK82" s="96"/>
      <c r="AL82" s="96"/>
      <c r="AM82" s="95"/>
      <c r="AN82" s="95"/>
      <c r="AO82" s="95"/>
      <c r="AP82" s="95"/>
      <c r="AQ82" s="95"/>
      <c r="AR82" s="95"/>
      <c r="AS82" s="95"/>
      <c r="AT82" s="95"/>
      <c r="AU82" s="95"/>
      <c r="AV82" s="95"/>
      <c r="AW82" s="95"/>
      <c r="AX82" s="95"/>
      <c r="AY82" s="95"/>
      <c r="AZ82" s="95"/>
      <c r="BA82" s="95"/>
      <c r="BB82" s="95"/>
      <c r="BC82" s="95"/>
      <c r="BD82" s="95"/>
      <c r="BE82" s="95"/>
      <c r="BF82" s="95"/>
      <c r="BG82" s="95"/>
      <c r="BH82" s="95"/>
      <c r="BI82" s="95"/>
      <c r="BJ82" s="95"/>
      <c r="BK82" s="95"/>
      <c r="BL82" s="95"/>
      <c r="BM82" s="95"/>
      <c r="BN82" s="95"/>
      <c r="BO82" s="95"/>
      <c r="BP82" s="85">
        <f t="shared" si="18"/>
        <v>0</v>
      </c>
      <c r="BQ82" s="85">
        <f t="shared" si="19"/>
        <v>0</v>
      </c>
      <c r="BR82" s="85">
        <f t="shared" si="20"/>
        <v>0</v>
      </c>
      <c r="BS82" s="85">
        <f t="shared" si="21"/>
        <v>0</v>
      </c>
    </row>
    <row r="83" spans="1:71" s="84" customFormat="1" ht="65.45" customHeight="1" x14ac:dyDescent="0.25">
      <c r="A83" s="36" t="s">
        <v>604</v>
      </c>
      <c r="B83" s="138" t="s">
        <v>789</v>
      </c>
      <c r="C83" s="138" t="s">
        <v>790</v>
      </c>
      <c r="D83" s="30" t="str">
        <f t="shared" si="22"/>
        <v>1.7-13.1</v>
      </c>
      <c r="E83" s="138" t="s">
        <v>791</v>
      </c>
      <c r="F83" s="30" t="s">
        <v>229</v>
      </c>
      <c r="G83" s="49"/>
      <c r="H83" s="49"/>
      <c r="I83" s="58">
        <v>46143</v>
      </c>
      <c r="J83" s="58">
        <v>46295</v>
      </c>
      <c r="K83" s="32" t="s">
        <v>792</v>
      </c>
      <c r="L83" s="32" t="s">
        <v>793</v>
      </c>
      <c r="M83" s="32"/>
      <c r="N83" s="32" t="s">
        <v>794</v>
      </c>
      <c r="O83" s="30" t="s">
        <v>795</v>
      </c>
      <c r="P83" s="30" t="s">
        <v>796</v>
      </c>
      <c r="Q83" s="41" t="s">
        <v>363</v>
      </c>
      <c r="R83" s="41" t="s">
        <v>363</v>
      </c>
      <c r="S83" s="56" t="s">
        <v>376</v>
      </c>
      <c r="T83" s="119"/>
      <c r="U83" s="119"/>
      <c r="V83" s="119">
        <v>0</v>
      </c>
      <c r="W83" s="119"/>
      <c r="X83" s="119"/>
      <c r="Y83" s="119">
        <v>0</v>
      </c>
      <c r="Z83" s="28">
        <f t="shared" si="23"/>
        <v>0</v>
      </c>
      <c r="AA83" s="95"/>
      <c r="AB83" s="96"/>
      <c r="AC83" s="96"/>
      <c r="AD83" s="96"/>
      <c r="AE83" s="96"/>
      <c r="AF83" s="96"/>
      <c r="AG83" s="96"/>
      <c r="AH83" s="96"/>
      <c r="AI83" s="96"/>
      <c r="AJ83" s="96"/>
      <c r="AK83" s="96"/>
      <c r="AL83" s="96"/>
      <c r="AM83" s="95"/>
      <c r="AN83" s="95"/>
      <c r="AO83" s="95"/>
      <c r="AP83" s="95"/>
      <c r="AQ83" s="95"/>
      <c r="AR83" s="95"/>
      <c r="AS83" s="95"/>
      <c r="AT83" s="95"/>
      <c r="AU83" s="95"/>
      <c r="AV83" s="95"/>
      <c r="AW83" s="95"/>
      <c r="AX83" s="95"/>
      <c r="AY83" s="95"/>
      <c r="AZ83" s="95"/>
      <c r="BA83" s="95"/>
      <c r="BB83" s="95"/>
      <c r="BC83" s="95"/>
      <c r="BD83" s="95"/>
      <c r="BE83" s="95"/>
      <c r="BF83" s="95"/>
      <c r="BG83" s="95"/>
      <c r="BH83" s="95"/>
      <c r="BI83" s="95"/>
      <c r="BJ83" s="95"/>
      <c r="BK83" s="95"/>
      <c r="BL83" s="95"/>
      <c r="BM83" s="95"/>
      <c r="BN83" s="95"/>
      <c r="BO83" s="95"/>
      <c r="BP83" s="85"/>
      <c r="BQ83" s="85"/>
      <c r="BR83" s="85"/>
      <c r="BS83" s="85"/>
    </row>
    <row r="84" spans="1:71" s="84" customFormat="1" ht="65.45" customHeight="1" x14ac:dyDescent="0.25">
      <c r="A84" s="36" t="s">
        <v>604</v>
      </c>
      <c r="B84" s="138" t="s">
        <v>789</v>
      </c>
      <c r="C84" s="138" t="s">
        <v>790</v>
      </c>
      <c r="D84" s="30" t="str">
        <f t="shared" si="22"/>
        <v>1.7-13.2</v>
      </c>
      <c r="E84" s="138" t="s">
        <v>797</v>
      </c>
      <c r="F84" s="30" t="s">
        <v>229</v>
      </c>
      <c r="G84" s="49"/>
      <c r="H84" s="49"/>
      <c r="I84" s="58">
        <v>46143</v>
      </c>
      <c r="J84" s="58">
        <v>46295</v>
      </c>
      <c r="K84" s="32" t="s">
        <v>792</v>
      </c>
      <c r="L84" s="32" t="s">
        <v>793</v>
      </c>
      <c r="M84" s="32"/>
      <c r="N84" s="32" t="s">
        <v>794</v>
      </c>
      <c r="O84" s="30" t="s">
        <v>798</v>
      </c>
      <c r="P84" s="30" t="s">
        <v>796</v>
      </c>
      <c r="Q84" s="41" t="s">
        <v>363</v>
      </c>
      <c r="R84" s="41" t="s">
        <v>363</v>
      </c>
      <c r="S84" s="56" t="s">
        <v>799</v>
      </c>
      <c r="T84" s="119"/>
      <c r="U84" s="119"/>
      <c r="V84" s="119">
        <v>0</v>
      </c>
      <c r="W84" s="119"/>
      <c r="X84" s="119"/>
      <c r="Y84" s="119">
        <v>18500000</v>
      </c>
      <c r="Z84" s="28">
        <f t="shared" si="23"/>
        <v>18500000</v>
      </c>
      <c r="AA84" s="95"/>
      <c r="AB84" s="96"/>
      <c r="AC84" s="96"/>
      <c r="AD84" s="96"/>
      <c r="AE84" s="96"/>
      <c r="AF84" s="96"/>
      <c r="AG84" s="96"/>
      <c r="AH84" s="96"/>
      <c r="AI84" s="96"/>
      <c r="AJ84" s="96"/>
      <c r="AK84" s="96"/>
      <c r="AL84" s="96"/>
      <c r="AM84" s="95"/>
      <c r="AN84" s="95"/>
      <c r="AO84" s="95"/>
      <c r="AP84" s="95"/>
      <c r="AQ84" s="95"/>
      <c r="AR84" s="95"/>
      <c r="AS84" s="95"/>
      <c r="AT84" s="95"/>
      <c r="AU84" s="95"/>
      <c r="AV84" s="95"/>
      <c r="AW84" s="95"/>
      <c r="AX84" s="95"/>
      <c r="AY84" s="95"/>
      <c r="AZ84" s="95"/>
      <c r="BA84" s="95"/>
      <c r="BB84" s="95"/>
      <c r="BC84" s="95"/>
      <c r="BD84" s="95"/>
      <c r="BE84" s="95"/>
      <c r="BF84" s="95"/>
      <c r="BG84" s="104">
        <v>18500000</v>
      </c>
      <c r="BH84" s="95"/>
      <c r="BI84" s="95"/>
      <c r="BJ84" s="95"/>
      <c r="BK84" s="95"/>
      <c r="BL84" s="95"/>
      <c r="BM84" s="95"/>
      <c r="BN84" s="95"/>
      <c r="BO84" s="95"/>
      <c r="BP84" s="85"/>
      <c r="BQ84" s="85"/>
      <c r="BR84" s="85"/>
      <c r="BS84" s="85"/>
    </row>
    <row r="85" spans="1:71" s="84" customFormat="1" ht="65.45" customHeight="1" x14ac:dyDescent="0.25">
      <c r="A85" s="36" t="s">
        <v>604</v>
      </c>
      <c r="B85" s="138" t="s">
        <v>789</v>
      </c>
      <c r="C85" s="138" t="s">
        <v>790</v>
      </c>
      <c r="D85" s="30" t="str">
        <f t="shared" si="22"/>
        <v>1.7-13.3</v>
      </c>
      <c r="E85" s="138" t="s">
        <v>800</v>
      </c>
      <c r="F85" s="30" t="s">
        <v>229</v>
      </c>
      <c r="G85" s="49"/>
      <c r="H85" s="49"/>
      <c r="I85" s="58">
        <v>46143</v>
      </c>
      <c r="J85" s="58">
        <v>46295</v>
      </c>
      <c r="K85" s="32" t="s">
        <v>792</v>
      </c>
      <c r="L85" s="32" t="s">
        <v>793</v>
      </c>
      <c r="M85" s="32"/>
      <c r="N85" s="32" t="s">
        <v>794</v>
      </c>
      <c r="O85" s="30" t="s">
        <v>801</v>
      </c>
      <c r="P85" s="30" t="s">
        <v>796</v>
      </c>
      <c r="Q85" s="41" t="s">
        <v>363</v>
      </c>
      <c r="R85" s="41" t="s">
        <v>363</v>
      </c>
      <c r="S85" s="56" t="s">
        <v>802</v>
      </c>
      <c r="T85" s="119"/>
      <c r="U85" s="119"/>
      <c r="V85" s="119">
        <v>0</v>
      </c>
      <c r="W85" s="119"/>
      <c r="X85" s="119"/>
      <c r="Y85" s="119">
        <v>0</v>
      </c>
      <c r="Z85" s="28">
        <f t="shared" si="23"/>
        <v>0</v>
      </c>
      <c r="AA85" s="95"/>
      <c r="AB85" s="96"/>
      <c r="AC85" s="96"/>
      <c r="AD85" s="96"/>
      <c r="AE85" s="96"/>
      <c r="AF85" s="96"/>
      <c r="AG85" s="96"/>
      <c r="AH85" s="96"/>
      <c r="AI85" s="96"/>
      <c r="AJ85" s="96"/>
      <c r="AK85" s="96"/>
      <c r="AL85" s="96"/>
      <c r="AM85" s="95"/>
      <c r="AN85" s="95"/>
      <c r="AO85" s="95"/>
      <c r="AP85" s="95"/>
      <c r="AQ85" s="95"/>
      <c r="AR85" s="95"/>
      <c r="AS85" s="95"/>
      <c r="AT85" s="95"/>
      <c r="AU85" s="95"/>
      <c r="AV85" s="95"/>
      <c r="AW85" s="95"/>
      <c r="AX85" s="95"/>
      <c r="AY85" s="95"/>
      <c r="AZ85" s="95"/>
      <c r="BA85" s="95"/>
      <c r="BB85" s="95"/>
      <c r="BC85" s="95"/>
      <c r="BD85" s="95"/>
      <c r="BE85" s="95"/>
      <c r="BF85" s="95"/>
      <c r="BG85" s="95"/>
      <c r="BH85" s="95"/>
      <c r="BI85" s="95"/>
      <c r="BJ85" s="95"/>
      <c r="BK85" s="95"/>
      <c r="BL85" s="95"/>
      <c r="BM85" s="95"/>
      <c r="BN85" s="95"/>
      <c r="BO85" s="95"/>
      <c r="BP85" s="85"/>
      <c r="BQ85" s="85"/>
      <c r="BR85" s="85"/>
      <c r="BS85" s="85"/>
    </row>
    <row r="86" spans="1:71" s="84" customFormat="1" ht="65.45" customHeight="1" x14ac:dyDescent="0.25">
      <c r="A86" s="36" t="s">
        <v>604</v>
      </c>
      <c r="B86" s="138" t="s">
        <v>789</v>
      </c>
      <c r="C86" s="138" t="s">
        <v>790</v>
      </c>
      <c r="D86" s="30" t="str">
        <f t="shared" si="22"/>
        <v>1.7-13.4</v>
      </c>
      <c r="E86" s="138" t="s">
        <v>803</v>
      </c>
      <c r="F86" s="30" t="s">
        <v>229</v>
      </c>
      <c r="G86" s="49"/>
      <c r="H86" s="49"/>
      <c r="I86" s="58">
        <v>46143</v>
      </c>
      <c r="J86" s="58">
        <v>46295</v>
      </c>
      <c r="K86" s="32" t="s">
        <v>792</v>
      </c>
      <c r="L86" s="32" t="s">
        <v>793</v>
      </c>
      <c r="M86" s="32"/>
      <c r="N86" s="32" t="s">
        <v>794</v>
      </c>
      <c r="O86" s="30" t="s">
        <v>804</v>
      </c>
      <c r="P86" s="30" t="s">
        <v>796</v>
      </c>
      <c r="Q86" s="41" t="s">
        <v>363</v>
      </c>
      <c r="R86" s="41" t="s">
        <v>363</v>
      </c>
      <c r="S86" s="56" t="s">
        <v>805</v>
      </c>
      <c r="T86" s="119"/>
      <c r="U86" s="119"/>
      <c r="V86" s="119">
        <v>0</v>
      </c>
      <c r="W86" s="119"/>
      <c r="X86" s="119"/>
      <c r="Y86" s="119">
        <v>3500000</v>
      </c>
      <c r="Z86" s="28">
        <f t="shared" si="23"/>
        <v>3500000</v>
      </c>
      <c r="AA86" s="95"/>
      <c r="AB86" s="96"/>
      <c r="AC86" s="96"/>
      <c r="AD86" s="96"/>
      <c r="AE86" s="96"/>
      <c r="AF86" s="96"/>
      <c r="AG86" s="96"/>
      <c r="AH86" s="96"/>
      <c r="AI86" s="96"/>
      <c r="AJ86" s="96"/>
      <c r="AK86" s="96"/>
      <c r="AL86" s="96"/>
      <c r="AM86" s="95"/>
      <c r="AN86" s="95"/>
      <c r="AO86" s="95"/>
      <c r="AP86" s="95"/>
      <c r="AQ86" s="95"/>
      <c r="AR86" s="95"/>
      <c r="AS86" s="95"/>
      <c r="AT86" s="95"/>
      <c r="AU86" s="95"/>
      <c r="AV86" s="95"/>
      <c r="AW86" s="95"/>
      <c r="AX86" s="95"/>
      <c r="AY86" s="95"/>
      <c r="AZ86" s="95"/>
      <c r="BA86" s="95"/>
      <c r="BB86" s="95"/>
      <c r="BC86" s="95"/>
      <c r="BD86" s="95"/>
      <c r="BE86" s="95"/>
      <c r="BF86" s="95"/>
      <c r="BG86" s="104">
        <v>3500000</v>
      </c>
      <c r="BH86" s="95"/>
      <c r="BI86" s="95"/>
      <c r="BJ86" s="95"/>
      <c r="BK86" s="95"/>
      <c r="BL86" s="95"/>
      <c r="BM86" s="95"/>
      <c r="BN86" s="95"/>
      <c r="BO86" s="95"/>
      <c r="BP86" s="85"/>
      <c r="BQ86" s="85"/>
      <c r="BR86" s="85"/>
      <c r="BS86" s="85"/>
    </row>
    <row r="87" spans="1:71" s="84" customFormat="1" ht="65.45" customHeight="1" x14ac:dyDescent="0.25">
      <c r="A87" s="36" t="s">
        <v>604</v>
      </c>
      <c r="B87" s="138" t="s">
        <v>806</v>
      </c>
      <c r="C87" s="138" t="s">
        <v>807</v>
      </c>
      <c r="D87" s="30" t="str">
        <f t="shared" si="22"/>
        <v>1.7-14.1</v>
      </c>
      <c r="E87" s="32" t="s">
        <v>806</v>
      </c>
      <c r="F87" s="30" t="s">
        <v>229</v>
      </c>
      <c r="G87" s="49" t="s">
        <v>291</v>
      </c>
      <c r="H87" s="49"/>
      <c r="I87" s="58">
        <v>46143</v>
      </c>
      <c r="J87" s="58">
        <v>46172</v>
      </c>
      <c r="K87" s="32" t="s">
        <v>808</v>
      </c>
      <c r="L87" s="32" t="s">
        <v>808</v>
      </c>
      <c r="M87" s="32"/>
      <c r="N87" s="32" t="s">
        <v>809</v>
      </c>
      <c r="O87" s="30" t="s">
        <v>808</v>
      </c>
      <c r="P87" s="30" t="s">
        <v>808</v>
      </c>
      <c r="Q87" s="41" t="s">
        <v>363</v>
      </c>
      <c r="R87" s="41" t="s">
        <v>363</v>
      </c>
      <c r="S87" s="56" t="s">
        <v>376</v>
      </c>
      <c r="T87" s="119"/>
      <c r="U87" s="119"/>
      <c r="V87" s="119">
        <v>0</v>
      </c>
      <c r="W87" s="119"/>
      <c r="X87" s="119"/>
      <c r="Y87" s="119">
        <v>0</v>
      </c>
      <c r="Z87" s="28">
        <f t="shared" si="23"/>
        <v>0</v>
      </c>
      <c r="AA87" s="95"/>
      <c r="AB87" s="96"/>
      <c r="AC87" s="96"/>
      <c r="AD87" s="96"/>
      <c r="AE87" s="96"/>
      <c r="AF87" s="96"/>
      <c r="AG87" s="96"/>
      <c r="AH87" s="96"/>
      <c r="AI87" s="96"/>
      <c r="AJ87" s="96"/>
      <c r="AK87" s="96"/>
      <c r="AL87" s="96"/>
      <c r="AM87" s="95"/>
      <c r="AN87" s="95"/>
      <c r="AO87" s="95"/>
      <c r="AP87" s="95"/>
      <c r="AQ87" s="95"/>
      <c r="AR87" s="95"/>
      <c r="AS87" s="95"/>
      <c r="AT87" s="95"/>
      <c r="AU87" s="95"/>
      <c r="AV87" s="95"/>
      <c r="AW87" s="95"/>
      <c r="AX87" s="95"/>
      <c r="AY87" s="95"/>
      <c r="AZ87" s="95"/>
      <c r="BA87" s="95"/>
      <c r="BB87" s="95"/>
      <c r="BC87" s="95"/>
      <c r="BD87" s="95"/>
      <c r="BE87" s="95"/>
      <c r="BF87" s="95"/>
      <c r="BG87" s="95"/>
      <c r="BH87" s="95"/>
      <c r="BI87" s="95"/>
      <c r="BJ87" s="95"/>
      <c r="BK87" s="95"/>
      <c r="BL87" s="95"/>
      <c r="BM87" s="95"/>
      <c r="BN87" s="95"/>
      <c r="BO87" s="95"/>
      <c r="BP87" s="85"/>
      <c r="BQ87" s="85"/>
      <c r="BR87" s="85"/>
      <c r="BS87" s="85"/>
    </row>
    <row r="88" spans="1:71" s="84" customFormat="1" ht="184.35" customHeight="1" x14ac:dyDescent="0.25">
      <c r="A88" s="36" t="s">
        <v>810</v>
      </c>
      <c r="B88" s="32" t="s">
        <v>811</v>
      </c>
      <c r="C88" s="32" t="s">
        <v>812</v>
      </c>
      <c r="D88" s="30" t="str">
        <f t="shared" si="22"/>
        <v>1.8-2.1</v>
      </c>
      <c r="E88" s="32" t="s">
        <v>813</v>
      </c>
      <c r="F88" s="30" t="s">
        <v>26</v>
      </c>
      <c r="G88" s="49" t="s">
        <v>461</v>
      </c>
      <c r="H88" s="49" t="s">
        <v>608</v>
      </c>
      <c r="I88" s="58">
        <v>45931</v>
      </c>
      <c r="J88" s="58">
        <v>46203</v>
      </c>
      <c r="K88" s="32" t="s">
        <v>814</v>
      </c>
      <c r="L88" s="32" t="s">
        <v>815</v>
      </c>
      <c r="M88" s="32" t="s">
        <v>816</v>
      </c>
      <c r="N88" s="32" t="s">
        <v>817</v>
      </c>
      <c r="O88" s="30" t="s">
        <v>556</v>
      </c>
      <c r="P88" s="41" t="s">
        <v>483</v>
      </c>
      <c r="Q88" s="41" t="s">
        <v>363</v>
      </c>
      <c r="R88" s="30" t="s">
        <v>415</v>
      </c>
      <c r="S88" s="74" t="s">
        <v>818</v>
      </c>
      <c r="T88" s="55">
        <v>0</v>
      </c>
      <c r="U88" s="55">
        <v>0</v>
      </c>
      <c r="V88" s="55">
        <v>0</v>
      </c>
      <c r="W88" s="55">
        <v>0</v>
      </c>
      <c r="X88" s="55">
        <v>31741129</v>
      </c>
      <c r="Y88" s="55">
        <v>0</v>
      </c>
      <c r="Z88" s="28">
        <f t="shared" si="23"/>
        <v>31741129</v>
      </c>
      <c r="AA88" s="95"/>
      <c r="AB88" s="95"/>
      <c r="AC88" s="95"/>
      <c r="AD88" s="95"/>
      <c r="AE88" s="95"/>
      <c r="AF88" s="95">
        <v>12000000</v>
      </c>
      <c r="AG88" s="95"/>
      <c r="AH88" s="95"/>
      <c r="AI88" s="95"/>
      <c r="AJ88" s="95"/>
      <c r="AK88" s="95"/>
      <c r="AL88" s="95"/>
      <c r="AM88" s="95"/>
      <c r="AN88" s="95"/>
      <c r="AO88" s="95"/>
      <c r="AP88" s="95"/>
      <c r="AQ88" s="95"/>
      <c r="AR88" s="95">
        <v>19741129</v>
      </c>
      <c r="AS88" s="95"/>
      <c r="AT88" s="95"/>
      <c r="AU88" s="95"/>
      <c r="AV88" s="95"/>
      <c r="AW88" s="95"/>
      <c r="AX88" s="104">
        <v>21989296</v>
      </c>
      <c r="AY88" s="95"/>
      <c r="AZ88" s="95"/>
      <c r="BA88" s="95"/>
      <c r="BB88" s="95"/>
      <c r="BC88" s="95"/>
      <c r="BD88" s="95"/>
      <c r="BE88" s="95"/>
      <c r="BF88" s="95"/>
      <c r="BG88" s="95"/>
      <c r="BH88" s="95"/>
      <c r="BI88" s="95"/>
      <c r="BJ88" s="95"/>
      <c r="BK88" s="95"/>
      <c r="BL88" s="95"/>
      <c r="BM88" s="95"/>
      <c r="BN88" s="95"/>
      <c r="BO88" s="95"/>
      <c r="BP88" s="44">
        <f t="shared" ref="BP88:BP105" si="24">T88-SUM(AA88,AD88,AG88,AJ88,AM88,AP88)</f>
        <v>0</v>
      </c>
      <c r="BQ88" s="44">
        <f t="shared" ref="BQ88:BQ105" si="25">U88-SUM(AS88,AV88,AZ88,BD88,BH88,BL88)</f>
        <v>0</v>
      </c>
      <c r="BR88" s="44">
        <f t="shared" ref="BR88:BR105" si="26">W88-SUM(AB88,AE88,AH88,AK88,AN88,AQ88,AT88,AW88,BA88,BE88,BI88,BM88)</f>
        <v>0</v>
      </c>
      <c r="BS88" s="44">
        <f t="shared" ref="BS88:BS105" si="27">X88-SUM(AC88,AF88,AI88,AL88,AO88,AR88,AU88,AX88,BB88,BF88,BJ88,BN88)</f>
        <v>-21989296</v>
      </c>
    </row>
    <row r="89" spans="1:71" s="50" customFormat="1" ht="91.35" customHeight="1" x14ac:dyDescent="0.25">
      <c r="A89" s="36" t="s">
        <v>810</v>
      </c>
      <c r="B89" s="137" t="s">
        <v>819</v>
      </c>
      <c r="C89" s="137" t="s">
        <v>820</v>
      </c>
      <c r="D89" s="30" t="str">
        <f t="shared" si="22"/>
        <v>1.8-3.1</v>
      </c>
      <c r="E89" s="32" t="s">
        <v>821</v>
      </c>
      <c r="F89" s="30" t="s">
        <v>142</v>
      </c>
      <c r="G89" s="49" t="s">
        <v>291</v>
      </c>
      <c r="H89" s="49" t="s">
        <v>667</v>
      </c>
      <c r="I89" s="58">
        <v>46041</v>
      </c>
      <c r="J89" s="58">
        <v>46203</v>
      </c>
      <c r="K89" s="32"/>
      <c r="L89" s="62" t="s">
        <v>822</v>
      </c>
      <c r="M89" s="32" t="s">
        <v>823</v>
      </c>
      <c r="N89" s="32" t="s">
        <v>824</v>
      </c>
      <c r="O89" s="41" t="s">
        <v>825</v>
      </c>
      <c r="P89" s="41" t="s">
        <v>826</v>
      </c>
      <c r="Q89" s="74" t="s">
        <v>363</v>
      </c>
      <c r="R89" s="74" t="s">
        <v>415</v>
      </c>
      <c r="S89" s="74" t="s">
        <v>827</v>
      </c>
      <c r="T89" s="55">
        <v>0</v>
      </c>
      <c r="U89" s="55">
        <v>780001</v>
      </c>
      <c r="V89" s="55">
        <v>780001</v>
      </c>
      <c r="W89" s="55">
        <v>3872772</v>
      </c>
      <c r="X89" s="55">
        <v>36405745</v>
      </c>
      <c r="Y89" s="55">
        <v>0</v>
      </c>
      <c r="Z89" s="28">
        <f t="shared" si="23"/>
        <v>41838519</v>
      </c>
      <c r="AA89" s="51"/>
      <c r="AB89" s="51"/>
      <c r="AC89" s="51"/>
      <c r="AD89" s="51"/>
      <c r="AE89" s="51"/>
      <c r="AF89" s="51"/>
      <c r="AG89" s="51"/>
      <c r="AH89" s="60">
        <v>5177972</v>
      </c>
      <c r="AI89" s="60">
        <v>18139600</v>
      </c>
      <c r="AJ89" s="51"/>
      <c r="AK89" s="51"/>
      <c r="AL89" s="51"/>
      <c r="AM89" s="51"/>
      <c r="AN89" s="51"/>
      <c r="AO89" s="51"/>
      <c r="AP89" s="51"/>
      <c r="AQ89" s="51"/>
      <c r="AR89" s="51"/>
      <c r="AS89" s="51"/>
      <c r="AT89" s="51"/>
      <c r="AU89" s="51"/>
      <c r="AV89" s="51"/>
      <c r="AW89" s="51"/>
      <c r="AX89" s="51"/>
      <c r="AY89" s="51"/>
      <c r="AZ89" s="51"/>
      <c r="BA89" s="60">
        <v>469432</v>
      </c>
      <c r="BB89" s="60">
        <v>18543895</v>
      </c>
      <c r="BC89" s="51"/>
      <c r="BD89" s="51"/>
      <c r="BE89" s="51"/>
      <c r="BF89" s="51"/>
      <c r="BG89" s="51"/>
      <c r="BH89" s="51"/>
      <c r="BI89" s="51"/>
      <c r="BJ89" s="51"/>
      <c r="BK89" s="51"/>
      <c r="BL89" s="51"/>
      <c r="BM89" s="51"/>
      <c r="BN89" s="51"/>
      <c r="BO89" s="51"/>
      <c r="BP89" s="44">
        <f t="shared" si="24"/>
        <v>0</v>
      </c>
      <c r="BQ89" s="44">
        <f t="shared" si="25"/>
        <v>780001</v>
      </c>
      <c r="BR89" s="44">
        <f t="shared" si="26"/>
        <v>-1774632</v>
      </c>
      <c r="BS89" s="44">
        <f t="shared" si="27"/>
        <v>-277750</v>
      </c>
    </row>
    <row r="90" spans="1:71" s="50" customFormat="1" ht="72" customHeight="1" x14ac:dyDescent="0.25">
      <c r="A90" s="36" t="s">
        <v>828</v>
      </c>
      <c r="B90" s="137" t="s">
        <v>829</v>
      </c>
      <c r="C90" s="137" t="s">
        <v>830</v>
      </c>
      <c r="D90" s="30" t="str">
        <f t="shared" si="22"/>
        <v>1.9-1.1</v>
      </c>
      <c r="E90" s="32" t="s">
        <v>831</v>
      </c>
      <c r="F90" s="30" t="s">
        <v>832</v>
      </c>
      <c r="G90" s="49" t="s">
        <v>498</v>
      </c>
      <c r="H90" s="49" t="s">
        <v>667</v>
      </c>
      <c r="I90" s="58">
        <v>45931</v>
      </c>
      <c r="J90" s="58">
        <v>47391</v>
      </c>
      <c r="K90" s="32"/>
      <c r="L90" s="62" t="s">
        <v>833</v>
      </c>
      <c r="M90" s="32"/>
      <c r="N90" s="32"/>
      <c r="O90" s="41" t="s">
        <v>834</v>
      </c>
      <c r="P90" s="41" t="s">
        <v>834</v>
      </c>
      <c r="Q90" s="74" t="s">
        <v>363</v>
      </c>
      <c r="R90" s="93" t="s">
        <v>415</v>
      </c>
      <c r="S90" s="74" t="s">
        <v>835</v>
      </c>
      <c r="T90" s="55">
        <v>20401409</v>
      </c>
      <c r="U90" s="55">
        <v>9096625</v>
      </c>
      <c r="V90" s="55">
        <v>29498034</v>
      </c>
      <c r="W90" s="55">
        <v>23057090</v>
      </c>
      <c r="X90" s="55">
        <v>40539302</v>
      </c>
      <c r="Y90" s="55">
        <v>71474787</v>
      </c>
      <c r="Z90" s="28">
        <f t="shared" si="23"/>
        <v>194067247</v>
      </c>
      <c r="AA90" s="51"/>
      <c r="AB90" s="51"/>
      <c r="AC90" s="51"/>
      <c r="AD90" s="65">
        <f>(T90/6)*2</f>
        <v>6800469.666666667</v>
      </c>
      <c r="AE90" s="65">
        <f>(W90/12)*2</f>
        <v>3842848.3333333335</v>
      </c>
      <c r="AF90" s="65">
        <f>(X90/12)*2</f>
        <v>6756550.333333333</v>
      </c>
      <c r="AG90" s="65">
        <f>(T90/6)</f>
        <v>3400234.8333333335</v>
      </c>
      <c r="AH90" s="65">
        <f>W90/12</f>
        <v>1921424.1666666667</v>
      </c>
      <c r="AI90" s="65">
        <f>X90/12</f>
        <v>3378275.1666666665</v>
      </c>
      <c r="AJ90" s="65">
        <v>2024238.3333333333</v>
      </c>
      <c r="AK90" s="65">
        <v>744379.37984496122</v>
      </c>
      <c r="AL90" s="65">
        <v>1846250.8920237813</v>
      </c>
      <c r="AM90" s="65">
        <v>2024238.3333333333</v>
      </c>
      <c r="AN90" s="65">
        <v>744379.37984496122</v>
      </c>
      <c r="AO90" s="65">
        <v>1846250.8920237813</v>
      </c>
      <c r="AP90" s="65">
        <v>2024238.3333333333</v>
      </c>
      <c r="AQ90" s="65">
        <v>744379.37984496122</v>
      </c>
      <c r="AR90" s="65">
        <v>1846250.8920237813</v>
      </c>
      <c r="AS90" s="65"/>
      <c r="AT90" s="65"/>
      <c r="AU90" s="65"/>
      <c r="AV90" s="65"/>
      <c r="AW90" s="60">
        <v>8457190</v>
      </c>
      <c r="AX90" s="60">
        <v>10000000</v>
      </c>
      <c r="AY90" s="60">
        <v>7000000</v>
      </c>
      <c r="AZ90" s="60">
        <v>4548312.5</v>
      </c>
      <c r="BA90" s="60">
        <v>604180</v>
      </c>
      <c r="BB90" s="60">
        <v>8176460</v>
      </c>
      <c r="BC90" s="60">
        <v>7000000</v>
      </c>
      <c r="BD90" s="65"/>
      <c r="BE90" s="60">
        <v>5000000</v>
      </c>
      <c r="BF90" s="60">
        <v>10000000</v>
      </c>
      <c r="BG90" s="60">
        <v>8000000</v>
      </c>
      <c r="BH90" s="60">
        <v>4548312.5</v>
      </c>
      <c r="BI90" s="60">
        <v>5000000</v>
      </c>
      <c r="BJ90" s="60">
        <v>7708420</v>
      </c>
      <c r="BK90" s="60">
        <v>8000000</v>
      </c>
      <c r="BL90" s="65"/>
      <c r="BM90" s="65"/>
      <c r="BN90" s="65"/>
      <c r="BO90" s="65"/>
      <c r="BP90" s="44">
        <f t="shared" si="24"/>
        <v>4127989.4999999981</v>
      </c>
      <c r="BQ90" s="44">
        <f t="shared" si="25"/>
        <v>0</v>
      </c>
      <c r="BR90" s="44">
        <f t="shared" si="26"/>
        <v>-4001690.6395348832</v>
      </c>
      <c r="BS90" s="44">
        <f t="shared" si="27"/>
        <v>-11019156.176071346</v>
      </c>
    </row>
    <row r="91" spans="1:71" s="50" customFormat="1" ht="55.35" customHeight="1" x14ac:dyDescent="0.25">
      <c r="A91" s="36" t="s">
        <v>836</v>
      </c>
      <c r="B91" s="32" t="s">
        <v>837</v>
      </c>
      <c r="C91" s="32" t="s">
        <v>838</v>
      </c>
      <c r="D91" s="30" t="str">
        <f t="shared" si="22"/>
        <v>1.10-1.1</v>
      </c>
      <c r="E91" s="32" t="s">
        <v>170</v>
      </c>
      <c r="F91" s="30" t="s">
        <v>167</v>
      </c>
      <c r="G91" s="49" t="s">
        <v>355</v>
      </c>
      <c r="H91" s="49"/>
      <c r="I91" s="58">
        <v>45667</v>
      </c>
      <c r="J91" s="58" t="s">
        <v>839</v>
      </c>
      <c r="K91" s="73"/>
      <c r="L91" s="62" t="s">
        <v>840</v>
      </c>
      <c r="M91" s="32" t="s">
        <v>841</v>
      </c>
      <c r="N91" s="32" t="s">
        <v>360</v>
      </c>
      <c r="O91" s="41" t="s">
        <v>842</v>
      </c>
      <c r="P91" s="41" t="s">
        <v>842</v>
      </c>
      <c r="Q91" s="74" t="s">
        <v>363</v>
      </c>
      <c r="R91" s="74" t="s">
        <v>415</v>
      </c>
      <c r="S91" s="136" t="s">
        <v>376</v>
      </c>
      <c r="T91" s="55">
        <v>0</v>
      </c>
      <c r="U91" s="55"/>
      <c r="V91" s="55">
        <v>0</v>
      </c>
      <c r="W91" s="55"/>
      <c r="X91" s="55"/>
      <c r="Y91" s="55">
        <v>0</v>
      </c>
      <c r="Z91" s="28">
        <f t="shared" si="23"/>
        <v>0</v>
      </c>
      <c r="AA91" s="60"/>
      <c r="AB91" s="60"/>
      <c r="AC91" s="51"/>
      <c r="AD91" s="60"/>
      <c r="AE91" s="60"/>
      <c r="AF91" s="60"/>
      <c r="AG91" s="60"/>
      <c r="AH91" s="60"/>
      <c r="AI91" s="51"/>
      <c r="AJ91" s="60"/>
      <c r="AK91" s="60"/>
      <c r="AL91" s="60"/>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44">
        <f t="shared" si="24"/>
        <v>0</v>
      </c>
      <c r="BQ91" s="44">
        <f t="shared" si="25"/>
        <v>0</v>
      </c>
      <c r="BR91" s="44">
        <f t="shared" si="26"/>
        <v>0</v>
      </c>
      <c r="BS91" s="44">
        <f t="shared" si="27"/>
        <v>0</v>
      </c>
    </row>
    <row r="92" spans="1:71" s="50" customFormat="1" ht="75" customHeight="1" x14ac:dyDescent="0.25">
      <c r="A92" s="36" t="s">
        <v>836</v>
      </c>
      <c r="B92" s="42" t="s">
        <v>843</v>
      </c>
      <c r="C92" s="32" t="s">
        <v>844</v>
      </c>
      <c r="D92" s="30" t="str">
        <f t="shared" si="22"/>
        <v>1.10-2.1</v>
      </c>
      <c r="E92" s="32" t="s">
        <v>845</v>
      </c>
      <c r="F92" s="30" t="s">
        <v>167</v>
      </c>
      <c r="G92" s="49" t="s">
        <v>355</v>
      </c>
      <c r="H92" s="49"/>
      <c r="I92" s="58">
        <v>45668</v>
      </c>
      <c r="J92" s="58" t="s">
        <v>839</v>
      </c>
      <c r="K92" s="73"/>
      <c r="L92" s="62" t="s">
        <v>846</v>
      </c>
      <c r="M92" s="32" t="s">
        <v>847</v>
      </c>
      <c r="N92" s="32" t="s">
        <v>848</v>
      </c>
      <c r="O92" s="41" t="s">
        <v>849</v>
      </c>
      <c r="P92" s="41" t="s">
        <v>849</v>
      </c>
      <c r="Q92" s="74" t="s">
        <v>363</v>
      </c>
      <c r="R92" s="74" t="s">
        <v>415</v>
      </c>
      <c r="S92" s="136" t="s">
        <v>376</v>
      </c>
      <c r="T92" s="55">
        <v>0</v>
      </c>
      <c r="U92" s="55"/>
      <c r="V92" s="55">
        <v>0</v>
      </c>
      <c r="W92" s="55"/>
      <c r="X92" s="55"/>
      <c r="Y92" s="55">
        <v>0</v>
      </c>
      <c r="Z92" s="28">
        <f t="shared" si="23"/>
        <v>0</v>
      </c>
      <c r="AA92" s="51"/>
      <c r="AB92" s="60"/>
      <c r="AC92" s="51"/>
      <c r="AD92" s="51"/>
      <c r="AE92" s="60"/>
      <c r="AF92" s="51"/>
      <c r="AG92" s="51"/>
      <c r="AH92" s="60"/>
      <c r="AI92" s="51"/>
      <c r="AJ92" s="51"/>
      <c r="AK92" s="60"/>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44">
        <f t="shared" si="24"/>
        <v>0</v>
      </c>
      <c r="BQ92" s="44">
        <f t="shared" si="25"/>
        <v>0</v>
      </c>
      <c r="BR92" s="44">
        <f t="shared" si="26"/>
        <v>0</v>
      </c>
      <c r="BS92" s="44">
        <f t="shared" si="27"/>
        <v>0</v>
      </c>
    </row>
    <row r="93" spans="1:71" s="50" customFormat="1" ht="75" customHeight="1" x14ac:dyDescent="0.25">
      <c r="A93" s="103" t="s">
        <v>836</v>
      </c>
      <c r="B93" s="114" t="s">
        <v>850</v>
      </c>
      <c r="C93" s="98" t="s">
        <v>851</v>
      </c>
      <c r="D93" s="30" t="str">
        <f t="shared" si="22"/>
        <v>1.10-3.1</v>
      </c>
      <c r="E93" s="32" t="s">
        <v>852</v>
      </c>
      <c r="F93" s="109" t="s">
        <v>167</v>
      </c>
      <c r="G93" s="112" t="s">
        <v>355</v>
      </c>
      <c r="H93" s="112"/>
      <c r="I93" s="124">
        <v>46023</v>
      </c>
      <c r="J93" s="124" t="s">
        <v>853</v>
      </c>
      <c r="K93" s="123"/>
      <c r="L93" s="135" t="s">
        <v>854</v>
      </c>
      <c r="M93" s="98" t="s">
        <v>855</v>
      </c>
      <c r="N93" s="98" t="s">
        <v>856</v>
      </c>
      <c r="O93" s="113" t="s">
        <v>849</v>
      </c>
      <c r="P93" s="113" t="s">
        <v>849</v>
      </c>
      <c r="Q93" s="134" t="s">
        <v>363</v>
      </c>
      <c r="R93" s="134" t="s">
        <v>415</v>
      </c>
      <c r="S93" s="133" t="s">
        <v>857</v>
      </c>
      <c r="T93" s="55">
        <v>6118330</v>
      </c>
      <c r="U93" s="55"/>
      <c r="V93" s="55">
        <v>6118330</v>
      </c>
      <c r="W93" s="55">
        <v>5586810</v>
      </c>
      <c r="X93" s="55">
        <v>4582000</v>
      </c>
      <c r="Y93" s="55">
        <v>0</v>
      </c>
      <c r="Z93" s="28">
        <f t="shared" si="23"/>
        <v>22405470</v>
      </c>
      <c r="AA93" s="51"/>
      <c r="AB93" s="106"/>
      <c r="AC93" s="51"/>
      <c r="AD93" s="51"/>
      <c r="AE93" s="132">
        <f>5507993-303000</f>
        <v>5204993</v>
      </c>
      <c r="AF93" s="51"/>
      <c r="AG93" s="51"/>
      <c r="AH93" s="106">
        <v>0</v>
      </c>
      <c r="AI93" s="51">
        <f>+X93</f>
        <v>4582000</v>
      </c>
      <c r="AJ93" s="51"/>
      <c r="AK93" s="106"/>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85">
        <f t="shared" si="24"/>
        <v>6118330</v>
      </c>
      <c r="BQ93" s="85">
        <f t="shared" si="25"/>
        <v>0</v>
      </c>
      <c r="BR93" s="85">
        <f t="shared" si="26"/>
        <v>381817</v>
      </c>
      <c r="BS93" s="85">
        <f t="shared" si="27"/>
        <v>0</v>
      </c>
    </row>
    <row r="94" spans="1:71" ht="126" customHeight="1" x14ac:dyDescent="0.25">
      <c r="A94" s="36" t="s">
        <v>858</v>
      </c>
      <c r="B94" s="42" t="s">
        <v>859</v>
      </c>
      <c r="C94" s="32" t="s">
        <v>860</v>
      </c>
      <c r="D94" s="30" t="str">
        <f t="shared" si="22"/>
        <v>1.11-1.1</v>
      </c>
      <c r="E94" s="32" t="s">
        <v>861</v>
      </c>
      <c r="F94" s="30" t="s">
        <v>862</v>
      </c>
      <c r="G94" s="49" t="s">
        <v>498</v>
      </c>
      <c r="H94" s="49" t="s">
        <v>667</v>
      </c>
      <c r="I94" s="58">
        <v>45931</v>
      </c>
      <c r="J94" s="58">
        <v>46203</v>
      </c>
      <c r="K94" s="43" t="s">
        <v>863</v>
      </c>
      <c r="L94" s="43" t="s">
        <v>864</v>
      </c>
      <c r="M94" s="43" t="s">
        <v>865</v>
      </c>
      <c r="N94" s="43" t="s">
        <v>866</v>
      </c>
      <c r="O94" s="189" t="s">
        <v>867</v>
      </c>
      <c r="P94" s="30" t="s">
        <v>868</v>
      </c>
      <c r="Q94" s="93" t="s">
        <v>363</v>
      </c>
      <c r="R94" s="93" t="s">
        <v>415</v>
      </c>
      <c r="S94" s="189" t="s">
        <v>869</v>
      </c>
      <c r="T94" s="48">
        <v>1709345</v>
      </c>
      <c r="U94" s="48"/>
      <c r="V94" s="48">
        <v>1709345</v>
      </c>
      <c r="W94" s="48"/>
      <c r="X94" s="48"/>
      <c r="Y94" s="48">
        <v>1500000</v>
      </c>
      <c r="Z94" s="28">
        <f t="shared" si="23"/>
        <v>4918690</v>
      </c>
      <c r="AA94" s="45"/>
      <c r="AB94" s="45"/>
      <c r="AC94" s="45"/>
      <c r="AD94" s="80">
        <v>1709345</v>
      </c>
      <c r="AE94" s="80"/>
      <c r="AF94" s="80"/>
      <c r="AG94" s="45"/>
      <c r="AH94" s="45"/>
      <c r="AI94" s="45"/>
      <c r="AJ94" s="45"/>
      <c r="AK94" s="45"/>
      <c r="AL94" s="45"/>
      <c r="AM94" s="45"/>
      <c r="AN94" s="45"/>
      <c r="AO94" s="45"/>
      <c r="AP94" s="45"/>
      <c r="AQ94" s="45"/>
      <c r="AR94" s="45"/>
      <c r="AS94" s="45"/>
      <c r="AT94" s="45"/>
      <c r="AU94" s="45"/>
      <c r="AV94" s="45"/>
      <c r="AW94" s="45"/>
      <c r="AX94" s="45"/>
      <c r="AY94" s="46">
        <v>1500000</v>
      </c>
      <c r="AZ94" s="45"/>
      <c r="BA94" s="45"/>
      <c r="BB94" s="45"/>
      <c r="BC94" s="45"/>
      <c r="BD94" s="80"/>
      <c r="BE94" s="45"/>
      <c r="BF94" s="45"/>
      <c r="BG94" s="45"/>
      <c r="BH94" s="45"/>
      <c r="BI94" s="45"/>
      <c r="BJ94" s="45"/>
      <c r="BK94" s="45"/>
      <c r="BL94" s="45"/>
      <c r="BM94" s="45"/>
      <c r="BN94" s="45"/>
      <c r="BO94" s="45"/>
      <c r="BP94" s="44">
        <f t="shared" si="24"/>
        <v>0</v>
      </c>
      <c r="BQ94" s="44">
        <f t="shared" si="25"/>
        <v>0</v>
      </c>
      <c r="BR94" s="44">
        <f t="shared" si="26"/>
        <v>0</v>
      </c>
      <c r="BS94" s="44">
        <f t="shared" si="27"/>
        <v>0</v>
      </c>
    </row>
    <row r="95" spans="1:71" ht="126" customHeight="1" x14ac:dyDescent="0.25">
      <c r="A95" s="36" t="s">
        <v>858</v>
      </c>
      <c r="B95" s="32" t="s">
        <v>859</v>
      </c>
      <c r="C95" s="32" t="s">
        <v>860</v>
      </c>
      <c r="D95" s="30" t="str">
        <f t="shared" si="22"/>
        <v>1.11-1.2</v>
      </c>
      <c r="E95" s="32" t="s">
        <v>870</v>
      </c>
      <c r="F95" s="30" t="s">
        <v>862</v>
      </c>
      <c r="G95" s="49" t="s">
        <v>498</v>
      </c>
      <c r="H95" s="49" t="s">
        <v>667</v>
      </c>
      <c r="I95" s="33">
        <v>45931</v>
      </c>
      <c r="J95" s="33">
        <v>46295</v>
      </c>
      <c r="K95" s="32" t="s">
        <v>871</v>
      </c>
      <c r="L95" s="43" t="s">
        <v>864</v>
      </c>
      <c r="M95" s="32" t="s">
        <v>872</v>
      </c>
      <c r="N95" s="43" t="s">
        <v>873</v>
      </c>
      <c r="O95" s="30" t="s">
        <v>874</v>
      </c>
      <c r="P95" s="30" t="s">
        <v>868</v>
      </c>
      <c r="Q95" s="93" t="s">
        <v>875</v>
      </c>
      <c r="R95" s="93" t="s">
        <v>876</v>
      </c>
      <c r="S95" s="189" t="s">
        <v>376</v>
      </c>
      <c r="T95" s="48">
        <v>0</v>
      </c>
      <c r="U95" s="48"/>
      <c r="V95" s="48">
        <v>0</v>
      </c>
      <c r="W95" s="48">
        <v>0</v>
      </c>
      <c r="X95" s="48"/>
      <c r="Y95" s="48">
        <v>0</v>
      </c>
      <c r="Z95" s="86">
        <f t="shared" si="23"/>
        <v>0</v>
      </c>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131">
        <f t="shared" si="24"/>
        <v>0</v>
      </c>
      <c r="BQ95" s="131">
        <f t="shared" si="25"/>
        <v>0</v>
      </c>
      <c r="BR95" s="131">
        <f t="shared" si="26"/>
        <v>0</v>
      </c>
      <c r="BS95" s="131">
        <f t="shared" si="27"/>
        <v>0</v>
      </c>
    </row>
    <row r="96" spans="1:71" ht="126" customHeight="1" x14ac:dyDescent="0.25">
      <c r="A96" s="36" t="s">
        <v>858</v>
      </c>
      <c r="B96" s="32" t="s">
        <v>859</v>
      </c>
      <c r="C96" s="32" t="s">
        <v>860</v>
      </c>
      <c r="D96" s="30" t="str">
        <f t="shared" si="22"/>
        <v>1.11-1.3</v>
      </c>
      <c r="E96" s="32" t="s">
        <v>293</v>
      </c>
      <c r="F96" s="30" t="s">
        <v>862</v>
      </c>
      <c r="G96" s="49" t="s">
        <v>498</v>
      </c>
      <c r="H96" s="49" t="s">
        <v>667</v>
      </c>
      <c r="I96" s="33">
        <v>46054</v>
      </c>
      <c r="J96" s="33">
        <v>46275</v>
      </c>
      <c r="K96" s="62" t="s">
        <v>877</v>
      </c>
      <c r="L96" s="43" t="s">
        <v>864</v>
      </c>
      <c r="M96" s="32" t="s">
        <v>878</v>
      </c>
      <c r="N96" s="43" t="s">
        <v>873</v>
      </c>
      <c r="O96" s="30" t="s">
        <v>879</v>
      </c>
      <c r="P96" s="30" t="s">
        <v>868</v>
      </c>
      <c r="Q96" s="93" t="s">
        <v>516</v>
      </c>
      <c r="R96" s="93" t="s">
        <v>516</v>
      </c>
      <c r="S96" s="93" t="s">
        <v>880</v>
      </c>
      <c r="T96" s="48">
        <v>0</v>
      </c>
      <c r="U96" s="48"/>
      <c r="V96" s="48">
        <v>0</v>
      </c>
      <c r="W96" s="48">
        <v>0</v>
      </c>
      <c r="X96" s="48"/>
      <c r="Y96" s="48">
        <v>0</v>
      </c>
      <c r="Z96" s="86">
        <f t="shared" si="23"/>
        <v>0</v>
      </c>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131">
        <f t="shared" si="24"/>
        <v>0</v>
      </c>
      <c r="BQ96" s="131">
        <f t="shared" si="25"/>
        <v>0</v>
      </c>
      <c r="BR96" s="131">
        <f t="shared" si="26"/>
        <v>0</v>
      </c>
      <c r="BS96" s="131">
        <f t="shared" si="27"/>
        <v>0</v>
      </c>
    </row>
    <row r="97" spans="1:208" ht="126" customHeight="1" x14ac:dyDescent="0.25">
      <c r="A97" s="36" t="s">
        <v>858</v>
      </c>
      <c r="B97" s="32" t="s">
        <v>859</v>
      </c>
      <c r="C97" s="32" t="s">
        <v>860</v>
      </c>
      <c r="D97" s="30" t="str">
        <f t="shared" si="22"/>
        <v>1.11-1.4</v>
      </c>
      <c r="E97" s="32" t="s">
        <v>881</v>
      </c>
      <c r="F97" s="30" t="s">
        <v>862</v>
      </c>
      <c r="G97" s="49" t="s">
        <v>498</v>
      </c>
      <c r="H97" s="49" t="s">
        <v>667</v>
      </c>
      <c r="I97" s="33">
        <v>46113</v>
      </c>
      <c r="J97" s="33">
        <v>46295</v>
      </c>
      <c r="K97" s="62" t="s">
        <v>882</v>
      </c>
      <c r="L97" s="43" t="s">
        <v>864</v>
      </c>
      <c r="M97" s="32" t="s">
        <v>878</v>
      </c>
      <c r="N97" s="43" t="s">
        <v>873</v>
      </c>
      <c r="O97" s="30" t="s">
        <v>883</v>
      </c>
      <c r="P97" s="30" t="s">
        <v>868</v>
      </c>
      <c r="Q97" s="93" t="s">
        <v>516</v>
      </c>
      <c r="R97" s="93" t="s">
        <v>516</v>
      </c>
      <c r="S97" s="93" t="s">
        <v>884</v>
      </c>
      <c r="T97" s="48"/>
      <c r="U97" s="55">
        <v>4660377</v>
      </c>
      <c r="V97" s="55">
        <v>4660377</v>
      </c>
      <c r="W97" s="48">
        <v>1792453</v>
      </c>
      <c r="X97" s="48">
        <v>3047170</v>
      </c>
      <c r="Y97" s="48">
        <v>0</v>
      </c>
      <c r="Z97" s="28">
        <f t="shared" si="23"/>
        <v>14160377</v>
      </c>
      <c r="AA97" s="45"/>
      <c r="AB97" s="45"/>
      <c r="AC97" s="45"/>
      <c r="AD97" s="45"/>
      <c r="AE97" s="45"/>
      <c r="AF97" s="45"/>
      <c r="AG97" s="45"/>
      <c r="AH97" s="45"/>
      <c r="AI97" s="45"/>
      <c r="AJ97" s="45"/>
      <c r="AK97" s="45"/>
      <c r="AL97" s="45"/>
      <c r="AM97" s="45"/>
      <c r="AN97" s="45"/>
      <c r="AO97" s="45"/>
      <c r="AP97" s="45"/>
      <c r="AQ97" s="45"/>
      <c r="AR97" s="45"/>
      <c r="AS97" s="119"/>
      <c r="AT97" s="45"/>
      <c r="AU97" s="45"/>
      <c r="AV97" s="80"/>
      <c r="AW97" s="80"/>
      <c r="AX97" s="80"/>
      <c r="AY97" s="80"/>
      <c r="AZ97" s="46">
        <v>4660377</v>
      </c>
      <c r="BA97" s="45"/>
      <c r="BB97" s="45"/>
      <c r="BC97" s="45"/>
      <c r="BD97" s="45"/>
      <c r="BE97" s="45"/>
      <c r="BF97" s="45"/>
      <c r="BG97" s="45"/>
      <c r="BH97" s="45"/>
      <c r="BI97" s="46">
        <v>1792453</v>
      </c>
      <c r="BJ97" s="46">
        <v>3047170</v>
      </c>
      <c r="BK97" s="45"/>
      <c r="BL97" s="45"/>
      <c r="BM97" s="45"/>
      <c r="BN97" s="45"/>
      <c r="BO97" s="45"/>
      <c r="BP97" s="44">
        <f t="shared" si="24"/>
        <v>0</v>
      </c>
      <c r="BQ97" s="44">
        <f t="shared" si="25"/>
        <v>0</v>
      </c>
      <c r="BR97" s="44">
        <f t="shared" si="26"/>
        <v>0</v>
      </c>
      <c r="BS97" s="44">
        <f t="shared" si="27"/>
        <v>0</v>
      </c>
    </row>
    <row r="98" spans="1:208" ht="106.35" customHeight="1" x14ac:dyDescent="0.25">
      <c r="A98" s="36" t="s">
        <v>858</v>
      </c>
      <c r="B98" s="42" t="s">
        <v>859</v>
      </c>
      <c r="C98" s="32" t="s">
        <v>860</v>
      </c>
      <c r="D98" s="30" t="str">
        <f t="shared" si="22"/>
        <v>1.11-1.5</v>
      </c>
      <c r="E98" s="32" t="s">
        <v>885</v>
      </c>
      <c r="F98" s="30" t="s">
        <v>862</v>
      </c>
      <c r="G98" s="49" t="s">
        <v>498</v>
      </c>
      <c r="H98" s="49" t="s">
        <v>667</v>
      </c>
      <c r="I98" s="33">
        <v>45962</v>
      </c>
      <c r="J98" s="33">
        <v>46173</v>
      </c>
      <c r="K98" s="62" t="s">
        <v>886</v>
      </c>
      <c r="L98" s="43" t="s">
        <v>864</v>
      </c>
      <c r="M98" s="43" t="s">
        <v>865</v>
      </c>
      <c r="N98" s="43" t="s">
        <v>873</v>
      </c>
      <c r="O98" s="30" t="s">
        <v>887</v>
      </c>
      <c r="P98" s="30" t="s">
        <v>868</v>
      </c>
      <c r="Q98" s="93" t="s">
        <v>363</v>
      </c>
      <c r="R98" s="93" t="s">
        <v>415</v>
      </c>
      <c r="S98" s="189" t="s">
        <v>888</v>
      </c>
      <c r="T98" s="48">
        <v>857488</v>
      </c>
      <c r="U98" s="48"/>
      <c r="V98" s="48">
        <v>857488</v>
      </c>
      <c r="W98" s="48">
        <v>0</v>
      </c>
      <c r="X98" s="48"/>
      <c r="Y98" s="48">
        <v>9444821</v>
      </c>
      <c r="Z98" s="28">
        <f t="shared" si="23"/>
        <v>11159797</v>
      </c>
      <c r="AA98" s="45"/>
      <c r="AB98" s="45"/>
      <c r="AC98" s="45"/>
      <c r="AD98" s="45"/>
      <c r="AE98" s="130"/>
      <c r="AF98" s="45"/>
      <c r="AG98" s="45"/>
      <c r="AH98" s="45"/>
      <c r="AI98" s="45"/>
      <c r="AJ98" s="80">
        <v>857488</v>
      </c>
      <c r="AK98" s="80">
        <v>181092</v>
      </c>
      <c r="AL98" s="45"/>
      <c r="AM98" s="45"/>
      <c r="AN98" s="45"/>
      <c r="AO98" s="45"/>
      <c r="AP98" s="45"/>
      <c r="AQ98" s="45"/>
      <c r="AR98" s="45"/>
      <c r="AS98" s="45"/>
      <c r="AT98" s="45"/>
      <c r="AU98" s="45"/>
      <c r="AV98" s="45"/>
      <c r="AW98" s="45"/>
      <c r="AX98" s="45"/>
      <c r="AY98" s="46">
        <v>9444821</v>
      </c>
      <c r="AZ98" s="45"/>
      <c r="BA98" s="45"/>
      <c r="BB98" s="45"/>
      <c r="BC98" s="45"/>
      <c r="BD98" s="45"/>
      <c r="BE98" s="45"/>
      <c r="BF98" s="45"/>
      <c r="BG98" s="45"/>
      <c r="BH98" s="45"/>
      <c r="BI98" s="45"/>
      <c r="BJ98" s="45"/>
      <c r="BK98" s="45"/>
      <c r="BL98" s="45"/>
      <c r="BM98" s="45"/>
      <c r="BN98" s="45"/>
      <c r="BO98" s="45"/>
      <c r="BP98" s="44">
        <f t="shared" si="24"/>
        <v>0</v>
      </c>
      <c r="BQ98" s="44">
        <f t="shared" si="25"/>
        <v>0</v>
      </c>
      <c r="BR98" s="44">
        <f t="shared" si="26"/>
        <v>-181092</v>
      </c>
      <c r="BS98" s="44">
        <f t="shared" si="27"/>
        <v>0</v>
      </c>
    </row>
    <row r="99" spans="1:208" ht="106.35" customHeight="1" x14ac:dyDescent="0.25">
      <c r="A99" s="36" t="s">
        <v>858</v>
      </c>
      <c r="B99" s="42" t="s">
        <v>859</v>
      </c>
      <c r="C99" s="32" t="s">
        <v>860</v>
      </c>
      <c r="D99" s="30" t="str">
        <f t="shared" ref="D99:D130" si="28">TRIM(_xlfn.TEXTBEFORE(E99,":"))</f>
        <v>1.11-1.6</v>
      </c>
      <c r="E99" s="32" t="s">
        <v>889</v>
      </c>
      <c r="F99" s="30" t="s">
        <v>862</v>
      </c>
      <c r="G99" s="49" t="s">
        <v>498</v>
      </c>
      <c r="H99" s="49" t="s">
        <v>667</v>
      </c>
      <c r="I99" s="33">
        <v>46024</v>
      </c>
      <c r="J99" s="33">
        <v>46203</v>
      </c>
      <c r="K99" s="62" t="s">
        <v>890</v>
      </c>
      <c r="L99" s="43" t="s">
        <v>864</v>
      </c>
      <c r="M99" s="32" t="s">
        <v>891</v>
      </c>
      <c r="N99" s="43" t="s">
        <v>873</v>
      </c>
      <c r="O99" s="30" t="s">
        <v>892</v>
      </c>
      <c r="P99" s="30" t="s">
        <v>868</v>
      </c>
      <c r="Q99" s="93" t="s">
        <v>363</v>
      </c>
      <c r="R99" s="93" t="s">
        <v>415</v>
      </c>
      <c r="S99" s="189" t="s">
        <v>893</v>
      </c>
      <c r="T99" s="48">
        <v>935908</v>
      </c>
      <c r="U99" s="48"/>
      <c r="V99" s="48">
        <v>935908</v>
      </c>
      <c r="W99" s="48"/>
      <c r="X99" s="48">
        <v>1165000</v>
      </c>
      <c r="Y99" s="48">
        <v>9140693</v>
      </c>
      <c r="Z99" s="28">
        <f t="shared" ref="Z99:Z130" si="29">SUM(T99:Y99)</f>
        <v>12177509</v>
      </c>
      <c r="AA99" s="45"/>
      <c r="AB99" s="45"/>
      <c r="AC99" s="45"/>
      <c r="AD99" s="80"/>
      <c r="AE99" s="45"/>
      <c r="AF99" s="45"/>
      <c r="AG99" s="45"/>
      <c r="AH99" s="45"/>
      <c r="AI99" s="45"/>
      <c r="AJ99" s="80">
        <v>935908</v>
      </c>
      <c r="AK99" s="80"/>
      <c r="AL99" s="45">
        <v>1165000</v>
      </c>
      <c r="AM99" s="45"/>
      <c r="AN99" s="45"/>
      <c r="AO99" s="45"/>
      <c r="AP99" s="45"/>
      <c r="AQ99" s="45"/>
      <c r="AR99" s="45"/>
      <c r="AS99" s="45"/>
      <c r="AT99" s="45"/>
      <c r="AU99" s="45"/>
      <c r="AV99" s="45"/>
      <c r="AW99" s="45"/>
      <c r="AX99" s="46">
        <v>1165000</v>
      </c>
      <c r="AY99" s="46">
        <v>9140693</v>
      </c>
      <c r="AZ99" s="45"/>
      <c r="BA99" s="45"/>
      <c r="BB99" s="45"/>
      <c r="BC99" s="45"/>
      <c r="BD99" s="45"/>
      <c r="BE99" s="45"/>
      <c r="BF99" s="45"/>
      <c r="BG99" s="45"/>
      <c r="BH99" s="45"/>
      <c r="BI99" s="45"/>
      <c r="BJ99" s="45"/>
      <c r="BK99" s="45"/>
      <c r="BL99" s="45"/>
      <c r="BM99" s="45"/>
      <c r="BN99" s="45"/>
      <c r="BO99" s="45"/>
      <c r="BP99" s="44">
        <f t="shared" si="24"/>
        <v>0</v>
      </c>
      <c r="BQ99" s="44">
        <f t="shared" si="25"/>
        <v>0</v>
      </c>
      <c r="BR99" s="44">
        <f t="shared" si="26"/>
        <v>0</v>
      </c>
      <c r="BS99" s="44">
        <f t="shared" si="27"/>
        <v>-1165000</v>
      </c>
      <c r="BT99" s="128"/>
    </row>
    <row r="100" spans="1:208" ht="106.35" customHeight="1" x14ac:dyDescent="0.25">
      <c r="A100" s="36" t="s">
        <v>858</v>
      </c>
      <c r="B100" s="42" t="s">
        <v>859</v>
      </c>
      <c r="C100" s="32" t="s">
        <v>860</v>
      </c>
      <c r="D100" s="30" t="str">
        <f t="shared" si="28"/>
        <v>1.11-1.7</v>
      </c>
      <c r="E100" s="32" t="s">
        <v>894</v>
      </c>
      <c r="F100" s="30" t="s">
        <v>862</v>
      </c>
      <c r="G100" s="49" t="s">
        <v>498</v>
      </c>
      <c r="H100" s="49" t="s">
        <v>895</v>
      </c>
      <c r="I100" s="33">
        <v>45931</v>
      </c>
      <c r="J100" s="58">
        <v>46295</v>
      </c>
      <c r="K100" s="38"/>
      <c r="L100" s="43" t="s">
        <v>864</v>
      </c>
      <c r="M100" s="129"/>
      <c r="N100" s="43" t="s">
        <v>873</v>
      </c>
      <c r="O100" s="30" t="s">
        <v>896</v>
      </c>
      <c r="P100" s="30" t="s">
        <v>868</v>
      </c>
      <c r="Q100" s="93" t="s">
        <v>897</v>
      </c>
      <c r="R100" s="93" t="s">
        <v>897</v>
      </c>
      <c r="S100" s="93" t="s">
        <v>898</v>
      </c>
      <c r="T100" s="48">
        <v>21300000</v>
      </c>
      <c r="U100" s="48">
        <v>10383939</v>
      </c>
      <c r="V100" s="48">
        <v>31683939</v>
      </c>
      <c r="W100" s="48">
        <v>4000136</v>
      </c>
      <c r="X100" s="48">
        <v>9824000</v>
      </c>
      <c r="Y100" s="48">
        <v>3554222</v>
      </c>
      <c r="Z100" s="28">
        <f t="shared" si="29"/>
        <v>80746236</v>
      </c>
      <c r="AA100" s="80"/>
      <c r="AB100" s="80"/>
      <c r="AC100" s="80"/>
      <c r="AD100" s="80">
        <f>(T100/6)*2</f>
        <v>7100000</v>
      </c>
      <c r="AE100" s="80">
        <f>(W100/6)*2</f>
        <v>1333378.6666666667</v>
      </c>
      <c r="AF100" s="80">
        <f>(X100/6)*2</f>
        <v>3274666.6666666665</v>
      </c>
      <c r="AG100" s="80">
        <v>3550000</v>
      </c>
      <c r="AH100" s="80">
        <v>972166.66666666663</v>
      </c>
      <c r="AI100" s="80">
        <f>+X100/6</f>
        <v>1637333.3333333333</v>
      </c>
      <c r="AJ100" s="80">
        <v>3550000</v>
      </c>
      <c r="AK100" s="80">
        <v>972166.66666666663</v>
      </c>
      <c r="AL100" s="80">
        <v>1637333.3333333333</v>
      </c>
      <c r="AM100" s="80">
        <v>3550000</v>
      </c>
      <c r="AN100" s="80">
        <v>972166.66666666663</v>
      </c>
      <c r="AO100" s="80">
        <v>1637333.3333333333</v>
      </c>
      <c r="AP100" s="80">
        <v>3550000</v>
      </c>
      <c r="AQ100" s="80">
        <v>972166.66666666663</v>
      </c>
      <c r="AR100" s="80">
        <v>1637333.3333333333</v>
      </c>
      <c r="AS100" s="80"/>
      <c r="AT100" s="80"/>
      <c r="AU100" s="80"/>
      <c r="AV100" s="46">
        <v>2076787</v>
      </c>
      <c r="AW100" s="80"/>
      <c r="AX100" s="46">
        <v>1964800</v>
      </c>
      <c r="AY100" s="80"/>
      <c r="AZ100" s="46">
        <v>2076787</v>
      </c>
      <c r="BA100" s="46">
        <v>1737839</v>
      </c>
      <c r="BB100" s="46">
        <v>1964800</v>
      </c>
      <c r="BC100" s="80"/>
      <c r="BD100" s="46">
        <v>2076787</v>
      </c>
      <c r="BE100" s="80"/>
      <c r="BF100" s="46">
        <v>1964800</v>
      </c>
      <c r="BG100" s="46">
        <v>3554222</v>
      </c>
      <c r="BH100" s="46">
        <v>2076787</v>
      </c>
      <c r="BI100" s="80"/>
      <c r="BJ100" s="46">
        <v>1964800</v>
      </c>
      <c r="BK100" s="80"/>
      <c r="BL100" s="46">
        <v>2076787</v>
      </c>
      <c r="BM100" s="80"/>
      <c r="BN100" s="46">
        <v>1964800</v>
      </c>
      <c r="BO100" s="80"/>
      <c r="BP100" s="44">
        <f t="shared" si="24"/>
        <v>0</v>
      </c>
      <c r="BQ100" s="44">
        <f t="shared" si="25"/>
        <v>4</v>
      </c>
      <c r="BR100" s="44">
        <f t="shared" si="26"/>
        <v>-2959748.333333334</v>
      </c>
      <c r="BS100" s="44">
        <f t="shared" si="27"/>
        <v>-9824000</v>
      </c>
      <c r="BT100" s="128"/>
    </row>
    <row r="101" spans="1:208" ht="106.35" customHeight="1" x14ac:dyDescent="0.25">
      <c r="A101" s="36" t="s">
        <v>858</v>
      </c>
      <c r="B101" s="42" t="s">
        <v>859</v>
      </c>
      <c r="C101" s="32" t="s">
        <v>860</v>
      </c>
      <c r="D101" s="30" t="str">
        <f t="shared" si="28"/>
        <v>1.11-1.8</v>
      </c>
      <c r="E101" s="32" t="s">
        <v>899</v>
      </c>
      <c r="F101" s="30" t="s">
        <v>900</v>
      </c>
      <c r="G101" s="49" t="s">
        <v>498</v>
      </c>
      <c r="H101" s="49" t="s">
        <v>667</v>
      </c>
      <c r="I101" s="33">
        <v>45931</v>
      </c>
      <c r="J101" s="58">
        <v>46112</v>
      </c>
      <c r="K101" s="32" t="s">
        <v>901</v>
      </c>
      <c r="L101" s="43" t="s">
        <v>864</v>
      </c>
      <c r="M101" s="32" t="s">
        <v>902</v>
      </c>
      <c r="N101" s="43" t="s">
        <v>873</v>
      </c>
      <c r="O101" s="30" t="s">
        <v>903</v>
      </c>
      <c r="P101" s="30" t="s">
        <v>868</v>
      </c>
      <c r="Q101" s="93" t="s">
        <v>904</v>
      </c>
      <c r="R101" s="93" t="s">
        <v>904</v>
      </c>
      <c r="S101" s="189" t="s">
        <v>904</v>
      </c>
      <c r="T101" s="48">
        <v>28861624</v>
      </c>
      <c r="U101" s="48"/>
      <c r="V101" s="48">
        <v>28861624</v>
      </c>
      <c r="W101" s="48">
        <v>5164280.32</v>
      </c>
      <c r="X101" s="48">
        <v>7907804.2400000002</v>
      </c>
      <c r="Y101" s="48">
        <v>0</v>
      </c>
      <c r="Z101" s="28">
        <f t="shared" si="29"/>
        <v>70795332.560000002</v>
      </c>
      <c r="AA101" s="45"/>
      <c r="AB101" s="45"/>
      <c r="AC101" s="45"/>
      <c r="AD101" s="45">
        <v>28861624</v>
      </c>
      <c r="AE101" s="45"/>
      <c r="AF101" s="45"/>
      <c r="AG101" s="80"/>
      <c r="AH101" s="82"/>
      <c r="AI101" s="82"/>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c r="BL101" s="45"/>
      <c r="BM101" s="45"/>
      <c r="BN101" s="45"/>
      <c r="BO101" s="45"/>
      <c r="BP101" s="44">
        <f t="shared" si="24"/>
        <v>0</v>
      </c>
      <c r="BQ101" s="44">
        <f t="shared" si="25"/>
        <v>0</v>
      </c>
      <c r="BR101" s="44">
        <f t="shared" si="26"/>
        <v>5164280.32</v>
      </c>
      <c r="BS101" s="44">
        <f t="shared" si="27"/>
        <v>7907804.2400000002</v>
      </c>
      <c r="BT101" s="128"/>
    </row>
    <row r="102" spans="1:208" ht="106.35" customHeight="1" x14ac:dyDescent="0.25">
      <c r="A102" s="36" t="s">
        <v>858</v>
      </c>
      <c r="B102" s="42" t="s">
        <v>859</v>
      </c>
      <c r="C102" s="32" t="s">
        <v>860</v>
      </c>
      <c r="D102" s="30" t="str">
        <f t="shared" si="28"/>
        <v>1.11-1.9</v>
      </c>
      <c r="E102" s="32" t="s">
        <v>279</v>
      </c>
      <c r="F102" s="30" t="s">
        <v>900</v>
      </c>
      <c r="G102" s="49" t="s">
        <v>498</v>
      </c>
      <c r="H102" s="49" t="s">
        <v>667</v>
      </c>
      <c r="I102" s="33">
        <v>45931</v>
      </c>
      <c r="J102" s="58">
        <v>46295</v>
      </c>
      <c r="K102" s="38"/>
      <c r="L102" s="43" t="s">
        <v>864</v>
      </c>
      <c r="M102" s="129"/>
      <c r="N102" s="43" t="s">
        <v>873</v>
      </c>
      <c r="O102" s="30" t="s">
        <v>896</v>
      </c>
      <c r="P102" s="30" t="s">
        <v>868</v>
      </c>
      <c r="Q102" s="93" t="s">
        <v>875</v>
      </c>
      <c r="R102" s="93" t="s">
        <v>905</v>
      </c>
      <c r="S102" s="189" t="s">
        <v>906</v>
      </c>
      <c r="T102" s="48">
        <v>195291498</v>
      </c>
      <c r="U102" s="48">
        <v>119733591</v>
      </c>
      <c r="V102" s="48">
        <v>315025089</v>
      </c>
      <c r="W102" s="48">
        <v>120751702</v>
      </c>
      <c r="X102" s="48">
        <v>203371287</v>
      </c>
      <c r="Y102" s="48">
        <v>0</v>
      </c>
      <c r="Z102" s="28">
        <f t="shared" si="29"/>
        <v>954173167</v>
      </c>
      <c r="AA102" s="45">
        <v>23954791</v>
      </c>
      <c r="AB102" s="45">
        <v>9288592</v>
      </c>
      <c r="AC102" s="45">
        <v>15643945</v>
      </c>
      <c r="AD102" s="45">
        <v>23954791</v>
      </c>
      <c r="AE102" s="45">
        <v>9288592</v>
      </c>
      <c r="AF102" s="45">
        <v>15643945</v>
      </c>
      <c r="AG102" s="45">
        <v>47909582</v>
      </c>
      <c r="AH102" s="45">
        <v>18577184</v>
      </c>
      <c r="AI102" s="45">
        <v>31287890</v>
      </c>
      <c r="AJ102" s="45">
        <v>23954791</v>
      </c>
      <c r="AK102" s="45">
        <v>9288592</v>
      </c>
      <c r="AL102" s="45">
        <v>15643945</v>
      </c>
      <c r="AM102" s="45">
        <v>23954791</v>
      </c>
      <c r="AN102" s="45">
        <v>9288592</v>
      </c>
      <c r="AO102" s="45">
        <v>15643945</v>
      </c>
      <c r="AP102" s="45">
        <v>23954791</v>
      </c>
      <c r="AQ102" s="45">
        <v>9288592</v>
      </c>
      <c r="AR102" s="45">
        <v>15643945</v>
      </c>
      <c r="AS102" s="45"/>
      <c r="AT102" s="45"/>
      <c r="AU102" s="45"/>
      <c r="AV102" s="45"/>
      <c r="AW102" s="45"/>
      <c r="AX102" s="45"/>
      <c r="AY102" s="45"/>
      <c r="AZ102" s="45"/>
      <c r="BA102" s="45"/>
      <c r="BB102" s="45"/>
      <c r="BC102" s="45"/>
      <c r="BD102" s="45"/>
      <c r="BE102" s="45"/>
      <c r="BF102" s="45"/>
      <c r="BG102" s="45"/>
      <c r="BH102" s="45"/>
      <c r="BI102" s="45"/>
      <c r="BJ102" s="45"/>
      <c r="BK102" s="45"/>
      <c r="BL102" s="45"/>
      <c r="BM102" s="45"/>
      <c r="BN102" s="45"/>
      <c r="BO102" s="45"/>
      <c r="BP102" s="44">
        <f t="shared" si="24"/>
        <v>27607961</v>
      </c>
      <c r="BQ102" s="44">
        <f t="shared" si="25"/>
        <v>119733591</v>
      </c>
      <c r="BR102" s="44">
        <f t="shared" si="26"/>
        <v>55731558</v>
      </c>
      <c r="BS102" s="44">
        <f t="shared" si="27"/>
        <v>93863672</v>
      </c>
      <c r="BT102" s="128"/>
    </row>
    <row r="103" spans="1:208" ht="125.45" customHeight="1" x14ac:dyDescent="0.25">
      <c r="A103" s="36" t="s">
        <v>858</v>
      </c>
      <c r="B103" s="42" t="s">
        <v>859</v>
      </c>
      <c r="C103" s="32" t="s">
        <v>860</v>
      </c>
      <c r="D103" s="30" t="str">
        <f t="shared" si="28"/>
        <v>1.11-1.10</v>
      </c>
      <c r="E103" s="32" t="s">
        <v>907</v>
      </c>
      <c r="F103" s="30" t="s">
        <v>229</v>
      </c>
      <c r="G103" s="49" t="s">
        <v>498</v>
      </c>
      <c r="H103" s="49" t="s">
        <v>667</v>
      </c>
      <c r="I103" s="33">
        <v>45931</v>
      </c>
      <c r="J103" s="58">
        <v>46295</v>
      </c>
      <c r="K103" s="32" t="s">
        <v>908</v>
      </c>
      <c r="L103" s="43" t="s">
        <v>909</v>
      </c>
      <c r="M103" s="32"/>
      <c r="N103" s="43" t="s">
        <v>873</v>
      </c>
      <c r="O103" s="57" t="s">
        <v>910</v>
      </c>
      <c r="P103" s="30" t="s">
        <v>868</v>
      </c>
      <c r="Q103" s="93" t="s">
        <v>875</v>
      </c>
      <c r="R103" s="93" t="s">
        <v>876</v>
      </c>
      <c r="S103" s="189" t="s">
        <v>911</v>
      </c>
      <c r="T103" s="48">
        <v>2000000</v>
      </c>
      <c r="U103" s="48">
        <v>8237747</v>
      </c>
      <c r="V103" s="48">
        <v>10237747</v>
      </c>
      <c r="W103" s="48">
        <v>15754000</v>
      </c>
      <c r="X103" s="48">
        <v>20000000</v>
      </c>
      <c r="Y103" s="48">
        <v>0</v>
      </c>
      <c r="Z103" s="28">
        <f t="shared" si="29"/>
        <v>56229494</v>
      </c>
      <c r="AA103" s="45"/>
      <c r="AB103" s="45"/>
      <c r="AC103" s="45"/>
      <c r="AD103" s="45"/>
      <c r="AE103" s="80">
        <v>254000</v>
      </c>
      <c r="AF103" s="45"/>
      <c r="AG103" s="45"/>
      <c r="AH103" s="45">
        <v>15500000</v>
      </c>
      <c r="AI103" s="45">
        <v>20000000</v>
      </c>
      <c r="AJ103" s="45"/>
      <c r="AK103" s="45"/>
      <c r="AL103" s="45"/>
      <c r="AM103" s="45"/>
      <c r="AN103" s="45"/>
      <c r="AO103" s="45"/>
      <c r="AP103" s="82">
        <f>(400000*5)</f>
        <v>2000000</v>
      </c>
      <c r="AQ103" s="45"/>
      <c r="AR103" s="45"/>
      <c r="AS103" s="45"/>
      <c r="AT103" s="45"/>
      <c r="AU103" s="45"/>
      <c r="AV103" s="45"/>
      <c r="AW103" s="45"/>
      <c r="AX103" s="45"/>
      <c r="AY103" s="45"/>
      <c r="AZ103" s="45"/>
      <c r="BA103" s="45"/>
      <c r="BB103" s="80"/>
      <c r="BC103" s="80"/>
      <c r="BD103" s="45"/>
      <c r="BE103" s="45"/>
      <c r="BF103" s="45"/>
      <c r="BG103" s="45"/>
      <c r="BH103" s="45"/>
      <c r="BI103" s="45"/>
      <c r="BJ103" s="45"/>
      <c r="BK103" s="45"/>
      <c r="BL103" s="45"/>
      <c r="BM103" s="45"/>
      <c r="BN103" s="45"/>
      <c r="BO103" s="45"/>
      <c r="BP103" s="44">
        <f t="shared" si="24"/>
        <v>0</v>
      </c>
      <c r="BQ103" s="44">
        <f t="shared" si="25"/>
        <v>8237747</v>
      </c>
      <c r="BR103" s="44">
        <f t="shared" si="26"/>
        <v>0</v>
      </c>
      <c r="BS103" s="44">
        <f t="shared" si="27"/>
        <v>0</v>
      </c>
      <c r="BT103" s="128"/>
    </row>
    <row r="104" spans="1:208" ht="125.45" customHeight="1" x14ac:dyDescent="0.25">
      <c r="A104" s="36" t="s">
        <v>446</v>
      </c>
      <c r="B104" s="42" t="s">
        <v>859</v>
      </c>
      <c r="C104" s="32" t="s">
        <v>860</v>
      </c>
      <c r="D104" s="30" t="str">
        <f t="shared" si="28"/>
        <v>1.11-1.11</v>
      </c>
      <c r="E104" s="32" t="s">
        <v>912</v>
      </c>
      <c r="F104" s="35" t="s">
        <v>862</v>
      </c>
      <c r="G104" s="34" t="s">
        <v>498</v>
      </c>
      <c r="H104" s="34" t="s">
        <v>667</v>
      </c>
      <c r="I104" s="33">
        <v>45931</v>
      </c>
      <c r="J104" s="33">
        <v>46203</v>
      </c>
      <c r="K104" s="32"/>
      <c r="L104" s="32" t="s">
        <v>451</v>
      </c>
      <c r="M104" s="32"/>
      <c r="N104" s="32" t="s">
        <v>913</v>
      </c>
      <c r="O104" s="30" t="s">
        <v>454</v>
      </c>
      <c r="P104" s="30" t="s">
        <v>868</v>
      </c>
      <c r="Q104" s="93" t="s">
        <v>455</v>
      </c>
      <c r="R104" s="93" t="s">
        <v>456</v>
      </c>
      <c r="S104" s="56" t="s">
        <v>376</v>
      </c>
      <c r="T104" s="29"/>
      <c r="U104" s="29">
        <v>0</v>
      </c>
      <c r="V104" s="29">
        <v>0</v>
      </c>
      <c r="W104" s="29"/>
      <c r="X104" s="29"/>
      <c r="Y104" s="29">
        <v>0</v>
      </c>
      <c r="Z104" s="28">
        <f t="shared" si="29"/>
        <v>0</v>
      </c>
      <c r="AA104" s="45"/>
      <c r="AB104" s="45"/>
      <c r="AC104" s="45"/>
      <c r="AD104" s="45"/>
      <c r="AE104" s="45"/>
      <c r="AF104" s="45"/>
      <c r="AG104" s="45"/>
      <c r="AH104" s="45"/>
      <c r="AI104" s="45"/>
      <c r="AJ104" s="45"/>
      <c r="AK104" s="80"/>
      <c r="AL104" s="80"/>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4">
        <f t="shared" si="24"/>
        <v>0</v>
      </c>
      <c r="BQ104" s="44">
        <f t="shared" si="25"/>
        <v>0</v>
      </c>
      <c r="BR104" s="44">
        <f t="shared" si="26"/>
        <v>0</v>
      </c>
      <c r="BS104" s="44">
        <f t="shared" si="27"/>
        <v>0</v>
      </c>
      <c r="BT104" s="128"/>
      <c r="GZ104" s="16" t="s">
        <v>43</v>
      </c>
    </row>
    <row r="105" spans="1:208" ht="125.45" customHeight="1" x14ac:dyDescent="0.25">
      <c r="A105" s="36" t="s">
        <v>446</v>
      </c>
      <c r="B105" s="42" t="s">
        <v>859</v>
      </c>
      <c r="C105" s="32" t="s">
        <v>860</v>
      </c>
      <c r="D105" s="30" t="str">
        <f t="shared" si="28"/>
        <v>1.11-1.12</v>
      </c>
      <c r="E105" s="32" t="s">
        <v>273</v>
      </c>
      <c r="F105" s="35" t="s">
        <v>862</v>
      </c>
      <c r="G105" s="34" t="s">
        <v>498</v>
      </c>
      <c r="H105" s="34" t="s">
        <v>667</v>
      </c>
      <c r="I105" s="33">
        <v>45931</v>
      </c>
      <c r="J105" s="33">
        <v>46203</v>
      </c>
      <c r="K105" s="32"/>
      <c r="L105" s="32" t="s">
        <v>914</v>
      </c>
      <c r="M105" s="32"/>
      <c r="N105" s="32" t="s">
        <v>453</v>
      </c>
      <c r="O105" s="30" t="s">
        <v>454</v>
      </c>
      <c r="P105" s="30" t="s">
        <v>868</v>
      </c>
      <c r="Q105" s="93" t="s">
        <v>455</v>
      </c>
      <c r="R105" s="93" t="s">
        <v>456</v>
      </c>
      <c r="S105" s="30" t="s">
        <v>915</v>
      </c>
      <c r="T105" s="29"/>
      <c r="U105" s="29"/>
      <c r="V105" s="29">
        <v>0</v>
      </c>
      <c r="W105" s="29"/>
      <c r="X105" s="29">
        <v>1220000</v>
      </c>
      <c r="Y105" s="29">
        <v>0</v>
      </c>
      <c r="Z105" s="28">
        <f t="shared" si="29"/>
        <v>1220000</v>
      </c>
      <c r="AA105" s="45"/>
      <c r="AB105" s="45"/>
      <c r="AC105" s="45"/>
      <c r="AD105" s="45"/>
      <c r="AE105" s="45"/>
      <c r="AF105" s="45"/>
      <c r="AG105" s="45"/>
      <c r="AH105" s="45"/>
      <c r="AI105" s="45"/>
      <c r="AJ105" s="45"/>
      <c r="AK105" s="80"/>
      <c r="AL105" s="80">
        <v>1220000</v>
      </c>
      <c r="AM105" s="45"/>
      <c r="AN105" s="45"/>
      <c r="AO105" s="45"/>
      <c r="AP105" s="45"/>
      <c r="AQ105" s="45"/>
      <c r="AR105" s="45"/>
      <c r="AS105" s="45"/>
      <c r="AT105" s="45"/>
      <c r="AU105" s="45"/>
      <c r="AV105" s="45"/>
      <c r="AW105" s="45"/>
      <c r="AX105" s="46">
        <v>1220000</v>
      </c>
      <c r="AY105" s="45"/>
      <c r="AZ105" s="45"/>
      <c r="BA105" s="45"/>
      <c r="BB105" s="45"/>
      <c r="BC105" s="45"/>
      <c r="BD105" s="45"/>
      <c r="BE105" s="45"/>
      <c r="BF105" s="45"/>
      <c r="BG105" s="45"/>
      <c r="BH105" s="45"/>
      <c r="BI105" s="45"/>
      <c r="BJ105" s="45"/>
      <c r="BK105" s="45"/>
      <c r="BL105" s="45"/>
      <c r="BM105" s="45"/>
      <c r="BN105" s="45"/>
      <c r="BO105" s="45"/>
      <c r="BP105" s="44">
        <f t="shared" si="24"/>
        <v>0</v>
      </c>
      <c r="BQ105" s="44">
        <f t="shared" si="25"/>
        <v>0</v>
      </c>
      <c r="BR105" s="44">
        <f t="shared" si="26"/>
        <v>0</v>
      </c>
      <c r="BS105" s="44">
        <f t="shared" si="27"/>
        <v>-1220000</v>
      </c>
      <c r="BT105" s="128"/>
    </row>
    <row r="106" spans="1:208" ht="125.45" customHeight="1" x14ac:dyDescent="0.25">
      <c r="A106" s="36" t="s">
        <v>446</v>
      </c>
      <c r="B106" s="32" t="s">
        <v>859</v>
      </c>
      <c r="C106" s="32" t="s">
        <v>860</v>
      </c>
      <c r="D106" s="30" t="str">
        <f t="shared" si="28"/>
        <v>1.11-1.13</v>
      </c>
      <c r="E106" s="32" t="s">
        <v>916</v>
      </c>
      <c r="F106" s="35" t="s">
        <v>917</v>
      </c>
      <c r="G106" s="34" t="s">
        <v>498</v>
      </c>
      <c r="H106" s="34" t="s">
        <v>667</v>
      </c>
      <c r="I106" s="33">
        <v>46143</v>
      </c>
      <c r="J106" s="33">
        <v>46295</v>
      </c>
      <c r="K106" s="32"/>
      <c r="L106" s="32" t="s">
        <v>914</v>
      </c>
      <c r="M106" s="32"/>
      <c r="N106" s="32" t="s">
        <v>453</v>
      </c>
      <c r="O106" s="30" t="s">
        <v>454</v>
      </c>
      <c r="P106" s="30" t="s">
        <v>868</v>
      </c>
      <c r="Q106" s="93" t="s">
        <v>455</v>
      </c>
      <c r="R106" s="93" t="s">
        <v>456</v>
      </c>
      <c r="S106" s="30"/>
      <c r="T106" s="29"/>
      <c r="U106" s="29">
        <v>43809653</v>
      </c>
      <c r="V106" s="29">
        <v>43809653</v>
      </c>
      <c r="W106" s="29"/>
      <c r="X106" s="29"/>
      <c r="Y106" s="29">
        <v>0</v>
      </c>
      <c r="Z106" s="28">
        <f t="shared" si="29"/>
        <v>87619306</v>
      </c>
      <c r="AA106" s="45"/>
      <c r="AB106" s="45"/>
      <c r="AC106" s="45"/>
      <c r="AD106" s="45"/>
      <c r="AE106" s="45"/>
      <c r="AF106" s="45"/>
      <c r="AG106" s="45"/>
      <c r="AH106" s="45"/>
      <c r="AI106" s="45"/>
      <c r="AJ106" s="45"/>
      <c r="AK106" s="80"/>
      <c r="AL106" s="80"/>
      <c r="AM106" s="45"/>
      <c r="AN106" s="45"/>
      <c r="AO106" s="45"/>
      <c r="AP106" s="45"/>
      <c r="AQ106" s="45"/>
      <c r="AR106" s="45"/>
      <c r="AS106" s="45"/>
      <c r="AT106" s="45"/>
      <c r="AU106" s="45"/>
      <c r="AV106" s="46">
        <v>32718950</v>
      </c>
      <c r="AW106" s="45"/>
      <c r="AX106" s="45"/>
      <c r="AY106" s="45"/>
      <c r="AZ106" s="46">
        <v>11090703</v>
      </c>
      <c r="BA106" s="45"/>
      <c r="BB106" s="45"/>
      <c r="BC106" s="45"/>
      <c r="BD106" s="45"/>
      <c r="BE106" s="45"/>
      <c r="BF106" s="45"/>
      <c r="BG106" s="45"/>
      <c r="BH106" s="45"/>
      <c r="BI106" s="45"/>
      <c r="BJ106" s="45"/>
      <c r="BK106" s="45"/>
      <c r="BL106" s="45"/>
      <c r="BM106" s="45"/>
      <c r="BN106" s="45"/>
      <c r="BO106" s="45"/>
      <c r="BP106" s="44"/>
      <c r="BQ106" s="44"/>
      <c r="BR106" s="44"/>
      <c r="BS106" s="44"/>
      <c r="BT106" s="128"/>
    </row>
    <row r="107" spans="1:208" s="50" customFormat="1" ht="115.35" customHeight="1" x14ac:dyDescent="0.25">
      <c r="A107" s="36" t="s">
        <v>858</v>
      </c>
      <c r="B107" s="32" t="s">
        <v>918</v>
      </c>
      <c r="C107" s="32" t="s">
        <v>919</v>
      </c>
      <c r="D107" s="30" t="str">
        <f t="shared" si="28"/>
        <v>1.11-2.1</v>
      </c>
      <c r="E107" s="32" t="s">
        <v>920</v>
      </c>
      <c r="F107" s="30" t="s">
        <v>142</v>
      </c>
      <c r="G107" s="49" t="s">
        <v>291</v>
      </c>
      <c r="H107" s="49" t="s">
        <v>667</v>
      </c>
      <c r="I107" s="58">
        <v>46125</v>
      </c>
      <c r="J107" s="58">
        <v>46136</v>
      </c>
      <c r="K107" s="62"/>
      <c r="L107" s="62" t="s">
        <v>921</v>
      </c>
      <c r="M107" s="32" t="s">
        <v>922</v>
      </c>
      <c r="N107" s="32" t="s">
        <v>923</v>
      </c>
      <c r="O107" s="41" t="s">
        <v>924</v>
      </c>
      <c r="P107" s="41" t="s">
        <v>925</v>
      </c>
      <c r="Q107" s="74" t="s">
        <v>363</v>
      </c>
      <c r="R107" s="74" t="s">
        <v>363</v>
      </c>
      <c r="S107" s="74" t="s">
        <v>926</v>
      </c>
      <c r="T107" s="55"/>
      <c r="U107" s="55">
        <v>13619850</v>
      </c>
      <c r="V107" s="55">
        <v>13619850</v>
      </c>
      <c r="W107" s="55">
        <v>3119667.6</v>
      </c>
      <c r="X107" s="55">
        <v>7570940</v>
      </c>
      <c r="Y107" s="55">
        <v>0</v>
      </c>
      <c r="Z107" s="28">
        <f t="shared" si="29"/>
        <v>37930307.600000001</v>
      </c>
      <c r="AA107" s="51"/>
      <c r="AB107" s="51"/>
      <c r="AC107" s="51"/>
      <c r="AD107" s="51"/>
      <c r="AE107" s="51"/>
      <c r="AF107" s="51"/>
      <c r="AG107" s="51"/>
      <c r="AH107" s="51"/>
      <c r="AI107" s="51"/>
      <c r="AJ107" s="51"/>
      <c r="AK107" s="51"/>
      <c r="AL107" s="51"/>
      <c r="AM107" s="51"/>
      <c r="AN107" s="51"/>
      <c r="AO107" s="51"/>
      <c r="AP107" s="51"/>
      <c r="AQ107" s="51"/>
      <c r="AR107" s="51"/>
      <c r="AS107" s="65"/>
      <c r="AT107" s="65"/>
      <c r="AU107" s="65"/>
      <c r="AV107" s="60">
        <v>13619850</v>
      </c>
      <c r="AW107" s="60">
        <v>3119667.6</v>
      </c>
      <c r="AX107" s="60">
        <v>7570940</v>
      </c>
      <c r="AY107" s="51"/>
      <c r="AZ107" s="51"/>
      <c r="BA107" s="51"/>
      <c r="BB107" s="51"/>
      <c r="BC107" s="51"/>
      <c r="BD107" s="51"/>
      <c r="BE107" s="51"/>
      <c r="BF107" s="51"/>
      <c r="BG107" s="51"/>
      <c r="BH107" s="51"/>
      <c r="BI107" s="51"/>
      <c r="BJ107" s="51"/>
      <c r="BK107" s="51"/>
      <c r="BL107" s="51"/>
      <c r="BM107" s="51"/>
      <c r="BN107" s="51"/>
      <c r="BO107" s="51"/>
      <c r="BP107" s="44">
        <f t="shared" ref="BP107:BP127" si="30">T107-SUM(AA107,AD107,AG107,AJ107,AM107,AP107)</f>
        <v>0</v>
      </c>
      <c r="BQ107" s="44">
        <f t="shared" ref="BQ107:BQ127" si="31">U107-SUM(AS107,AV107,AZ107,BD107,BH107,BL107)</f>
        <v>0</v>
      </c>
      <c r="BR107" s="44">
        <f t="shared" ref="BR107:BR127" si="32">W107-SUM(AB107,AE107,AH107,AK107,AN107,AQ107,AT107,AW107,BA107,BE107,BI107,BM107)</f>
        <v>0</v>
      </c>
      <c r="BS107" s="44">
        <f t="shared" ref="BS107:BS127" si="33">X107-SUM(AC107,AF107,AI107,AL107,AO107,AR107,AU107,AX107,BB107,BF107,BJ107,BN107)</f>
        <v>0</v>
      </c>
      <c r="BT107" s="127"/>
    </row>
    <row r="108" spans="1:208" s="50" customFormat="1" ht="144" customHeight="1" x14ac:dyDescent="0.25">
      <c r="A108" s="36" t="s">
        <v>858</v>
      </c>
      <c r="B108" s="32" t="s">
        <v>918</v>
      </c>
      <c r="C108" s="32" t="s">
        <v>919</v>
      </c>
      <c r="D108" s="30" t="str">
        <f t="shared" si="28"/>
        <v>1.11-2.2</v>
      </c>
      <c r="E108" s="32" t="s">
        <v>927</v>
      </c>
      <c r="F108" s="30" t="s">
        <v>142</v>
      </c>
      <c r="G108" s="49" t="s">
        <v>291</v>
      </c>
      <c r="H108" s="49" t="s">
        <v>667</v>
      </c>
      <c r="I108" s="58">
        <v>46216</v>
      </c>
      <c r="J108" s="58">
        <v>46228</v>
      </c>
      <c r="K108" s="62"/>
      <c r="L108" s="62" t="s">
        <v>928</v>
      </c>
      <c r="M108" s="32" t="s">
        <v>929</v>
      </c>
      <c r="N108" s="32" t="s">
        <v>923</v>
      </c>
      <c r="O108" s="41" t="s">
        <v>930</v>
      </c>
      <c r="P108" s="41" t="s">
        <v>925</v>
      </c>
      <c r="Q108" s="74" t="s">
        <v>363</v>
      </c>
      <c r="R108" s="74" t="s">
        <v>363</v>
      </c>
      <c r="S108" s="74" t="s">
        <v>931</v>
      </c>
      <c r="T108" s="55">
        <v>0</v>
      </c>
      <c r="U108" s="55">
        <v>0</v>
      </c>
      <c r="V108" s="55">
        <v>0</v>
      </c>
      <c r="W108" s="55">
        <v>2123605.6</v>
      </c>
      <c r="X108" s="55">
        <v>11015580</v>
      </c>
      <c r="Y108" s="55">
        <v>8237598</v>
      </c>
      <c r="Z108" s="28">
        <f t="shared" si="29"/>
        <v>21376783.600000001</v>
      </c>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65"/>
      <c r="BE108" s="60">
        <v>2123605.6</v>
      </c>
      <c r="BF108" s="60">
        <v>11015580</v>
      </c>
      <c r="BG108" s="60">
        <v>8237598</v>
      </c>
      <c r="BH108" s="51"/>
      <c r="BI108" s="51"/>
      <c r="BJ108" s="51"/>
      <c r="BK108" s="51"/>
      <c r="BL108" s="51"/>
      <c r="BM108" s="51"/>
      <c r="BN108" s="51"/>
      <c r="BO108" s="51"/>
      <c r="BP108" s="44">
        <f t="shared" si="30"/>
        <v>0</v>
      </c>
      <c r="BQ108" s="44">
        <f t="shared" si="31"/>
        <v>0</v>
      </c>
      <c r="BR108" s="44">
        <f t="shared" si="32"/>
        <v>0</v>
      </c>
      <c r="BS108" s="44">
        <f t="shared" si="33"/>
        <v>0</v>
      </c>
      <c r="BT108" s="127"/>
    </row>
    <row r="109" spans="1:208" s="50" customFormat="1" ht="129.75" customHeight="1" x14ac:dyDescent="0.25">
      <c r="A109" s="36" t="s">
        <v>858</v>
      </c>
      <c r="B109" s="32" t="s">
        <v>918</v>
      </c>
      <c r="C109" s="32" t="s">
        <v>919</v>
      </c>
      <c r="D109" s="30" t="str">
        <f t="shared" si="28"/>
        <v>1.11-2.3</v>
      </c>
      <c r="E109" s="32" t="s">
        <v>932</v>
      </c>
      <c r="F109" s="30" t="s">
        <v>142</v>
      </c>
      <c r="G109" s="49" t="s">
        <v>291</v>
      </c>
      <c r="H109" s="49" t="s">
        <v>667</v>
      </c>
      <c r="I109" s="58">
        <v>46275</v>
      </c>
      <c r="J109" s="58">
        <v>46290</v>
      </c>
      <c r="K109" s="62"/>
      <c r="L109" s="62" t="s">
        <v>928</v>
      </c>
      <c r="M109" s="32" t="s">
        <v>929</v>
      </c>
      <c r="N109" s="32" t="s">
        <v>923</v>
      </c>
      <c r="O109" s="41" t="s">
        <v>933</v>
      </c>
      <c r="P109" s="41" t="s">
        <v>925</v>
      </c>
      <c r="Q109" s="74" t="s">
        <v>363</v>
      </c>
      <c r="R109" s="74" t="s">
        <v>363</v>
      </c>
      <c r="S109" s="74" t="s">
        <v>934</v>
      </c>
      <c r="T109" s="55">
        <v>28769825</v>
      </c>
      <c r="U109" s="55">
        <v>0</v>
      </c>
      <c r="V109" s="55">
        <v>28769825</v>
      </c>
      <c r="W109" s="55">
        <v>14830860</v>
      </c>
      <c r="X109" s="55">
        <v>24446950</v>
      </c>
      <c r="Y109" s="55">
        <v>26100000</v>
      </c>
      <c r="Z109" s="28">
        <f t="shared" si="29"/>
        <v>122917460</v>
      </c>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65"/>
      <c r="BM109" s="60">
        <v>14830860</v>
      </c>
      <c r="BN109" s="60">
        <v>24446950</v>
      </c>
      <c r="BO109" s="60">
        <v>26100000</v>
      </c>
      <c r="BP109" s="44">
        <f t="shared" si="30"/>
        <v>28769825</v>
      </c>
      <c r="BQ109" s="44">
        <f t="shared" si="31"/>
        <v>0</v>
      </c>
      <c r="BR109" s="44">
        <f t="shared" si="32"/>
        <v>0</v>
      </c>
      <c r="BS109" s="44">
        <f t="shared" si="33"/>
        <v>0</v>
      </c>
      <c r="BT109" s="127"/>
    </row>
    <row r="110" spans="1:208" s="50" customFormat="1" ht="135" customHeight="1" x14ac:dyDescent="0.25">
      <c r="A110" s="36" t="s">
        <v>858</v>
      </c>
      <c r="B110" s="32" t="s">
        <v>935</v>
      </c>
      <c r="C110" s="32" t="s">
        <v>936</v>
      </c>
      <c r="D110" s="30" t="str">
        <f t="shared" si="28"/>
        <v>1.11-3.1</v>
      </c>
      <c r="E110" s="32" t="s">
        <v>158</v>
      </c>
      <c r="F110" s="30" t="s">
        <v>142</v>
      </c>
      <c r="G110" s="49" t="s">
        <v>291</v>
      </c>
      <c r="H110" s="49" t="s">
        <v>667</v>
      </c>
      <c r="I110" s="58">
        <v>45931</v>
      </c>
      <c r="J110" s="58">
        <v>46295</v>
      </c>
      <c r="K110" s="32"/>
      <c r="L110" s="62" t="s">
        <v>937</v>
      </c>
      <c r="M110" s="32" t="s">
        <v>929</v>
      </c>
      <c r="N110" s="32" t="s">
        <v>938</v>
      </c>
      <c r="O110" s="41" t="s">
        <v>939</v>
      </c>
      <c r="P110" s="41" t="s">
        <v>940</v>
      </c>
      <c r="Q110" s="93" t="s">
        <v>875</v>
      </c>
      <c r="R110" s="93" t="s">
        <v>876</v>
      </c>
      <c r="S110" s="74" t="s">
        <v>376</v>
      </c>
      <c r="T110" s="55">
        <v>0</v>
      </c>
      <c r="U110" s="55"/>
      <c r="V110" s="55">
        <v>0</v>
      </c>
      <c r="W110" s="48">
        <v>0</v>
      </c>
      <c r="X110" s="48"/>
      <c r="Y110" s="48">
        <v>0</v>
      </c>
      <c r="Z110" s="28">
        <f t="shared" si="29"/>
        <v>0</v>
      </c>
      <c r="AA110" s="45"/>
      <c r="AB110" s="45"/>
      <c r="AC110" s="45"/>
      <c r="AD110" s="45"/>
      <c r="AE110" s="45"/>
      <c r="AF110" s="45"/>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44">
        <f t="shared" si="30"/>
        <v>0</v>
      </c>
      <c r="BQ110" s="44">
        <f t="shared" si="31"/>
        <v>0</v>
      </c>
      <c r="BR110" s="44">
        <f t="shared" si="32"/>
        <v>0</v>
      </c>
      <c r="BS110" s="44">
        <f t="shared" si="33"/>
        <v>0</v>
      </c>
      <c r="BT110" s="127"/>
    </row>
    <row r="111" spans="1:208" s="50" customFormat="1" ht="135" customHeight="1" x14ac:dyDescent="0.25">
      <c r="A111" s="36" t="s">
        <v>858</v>
      </c>
      <c r="B111" s="32" t="s">
        <v>935</v>
      </c>
      <c r="C111" s="32" t="s">
        <v>936</v>
      </c>
      <c r="D111" s="30" t="str">
        <f t="shared" si="28"/>
        <v>1.11-3.2</v>
      </c>
      <c r="E111" s="32" t="s">
        <v>941</v>
      </c>
      <c r="F111" s="30" t="s">
        <v>142</v>
      </c>
      <c r="G111" s="49" t="s">
        <v>498</v>
      </c>
      <c r="H111" s="49" t="s">
        <v>667</v>
      </c>
      <c r="I111" s="58">
        <v>45931</v>
      </c>
      <c r="J111" s="58">
        <v>46295</v>
      </c>
      <c r="K111" s="32"/>
      <c r="L111" s="62" t="s">
        <v>937</v>
      </c>
      <c r="M111" s="32" t="s">
        <v>929</v>
      </c>
      <c r="N111" s="32" t="s">
        <v>938</v>
      </c>
      <c r="O111" s="41" t="s">
        <v>538</v>
      </c>
      <c r="P111" s="41" t="s">
        <v>940</v>
      </c>
      <c r="Q111" s="74" t="s">
        <v>363</v>
      </c>
      <c r="R111" s="74" t="s">
        <v>415</v>
      </c>
      <c r="S111" s="74" t="s">
        <v>942</v>
      </c>
      <c r="T111" s="55">
        <v>250000</v>
      </c>
      <c r="U111" s="55"/>
      <c r="V111" s="55">
        <v>250000</v>
      </c>
      <c r="W111" s="55">
        <v>608750</v>
      </c>
      <c r="X111" s="55">
        <v>1808480</v>
      </c>
      <c r="Y111" s="55">
        <v>0</v>
      </c>
      <c r="Z111" s="28">
        <f t="shared" si="29"/>
        <v>2917230</v>
      </c>
      <c r="AA111" s="51"/>
      <c r="AB111" s="51"/>
      <c r="AC111" s="51"/>
      <c r="AD111" s="51">
        <v>119500</v>
      </c>
      <c r="AE111" s="51"/>
      <c r="AF111" s="51"/>
      <c r="AG111" s="51">
        <f>119500+11000</f>
        <v>130500</v>
      </c>
      <c r="AH111" s="51"/>
      <c r="AI111" s="51"/>
      <c r="AJ111" s="51"/>
      <c r="AK111" s="51">
        <v>119500</v>
      </c>
      <c r="AL111" s="51"/>
      <c r="AM111" s="51"/>
      <c r="AN111" s="51">
        <v>119500</v>
      </c>
      <c r="AO111" s="51"/>
      <c r="AP111" s="51"/>
      <c r="AQ111" s="51">
        <v>119500</v>
      </c>
      <c r="AR111" s="51"/>
      <c r="AS111" s="51"/>
      <c r="AT111" s="51"/>
      <c r="AU111" s="51"/>
      <c r="AV111" s="51"/>
      <c r="AW111" s="51"/>
      <c r="AX111" s="60">
        <v>200000</v>
      </c>
      <c r="AY111" s="51"/>
      <c r="AZ111" s="51"/>
      <c r="BA111" s="51"/>
      <c r="BB111" s="60">
        <v>200000</v>
      </c>
      <c r="BC111" s="51"/>
      <c r="BD111" s="51"/>
      <c r="BE111" s="51"/>
      <c r="BF111" s="60">
        <v>1000000</v>
      </c>
      <c r="BG111" s="51"/>
      <c r="BH111" s="51"/>
      <c r="BI111" s="51"/>
      <c r="BJ111" s="51"/>
      <c r="BK111" s="51"/>
      <c r="BL111" s="51"/>
      <c r="BM111" s="51"/>
      <c r="BN111" s="60">
        <v>408480</v>
      </c>
      <c r="BO111" s="51"/>
      <c r="BP111" s="44">
        <f t="shared" si="30"/>
        <v>0</v>
      </c>
      <c r="BQ111" s="44">
        <f t="shared" si="31"/>
        <v>0</v>
      </c>
      <c r="BR111" s="44">
        <f t="shared" si="32"/>
        <v>250250</v>
      </c>
      <c r="BS111" s="44">
        <f t="shared" si="33"/>
        <v>0</v>
      </c>
      <c r="BT111" s="127"/>
    </row>
    <row r="112" spans="1:208" s="50" customFormat="1" ht="135" customHeight="1" x14ac:dyDescent="0.25">
      <c r="A112" s="36" t="s">
        <v>858</v>
      </c>
      <c r="B112" s="32" t="s">
        <v>935</v>
      </c>
      <c r="C112" s="32" t="s">
        <v>936</v>
      </c>
      <c r="D112" s="30" t="str">
        <f t="shared" si="28"/>
        <v>1.11-3.3</v>
      </c>
      <c r="E112" s="32" t="s">
        <v>943</v>
      </c>
      <c r="F112" s="30" t="s">
        <v>142</v>
      </c>
      <c r="G112" s="49" t="s">
        <v>498</v>
      </c>
      <c r="H112" s="49" t="s">
        <v>667</v>
      </c>
      <c r="I112" s="58">
        <v>45931</v>
      </c>
      <c r="J112" s="58">
        <v>46173</v>
      </c>
      <c r="K112" s="32"/>
      <c r="L112" s="62" t="s">
        <v>937</v>
      </c>
      <c r="M112" s="32" t="s">
        <v>929</v>
      </c>
      <c r="N112" s="32" t="s">
        <v>938</v>
      </c>
      <c r="O112" s="41" t="s">
        <v>944</v>
      </c>
      <c r="P112" s="41" t="s">
        <v>940</v>
      </c>
      <c r="Q112" s="74" t="s">
        <v>516</v>
      </c>
      <c r="R112" s="74" t="s">
        <v>516</v>
      </c>
      <c r="S112" s="74" t="s">
        <v>945</v>
      </c>
      <c r="T112" s="55">
        <v>0</v>
      </c>
      <c r="U112" s="55"/>
      <c r="V112" s="55">
        <v>0</v>
      </c>
      <c r="W112" s="55">
        <v>325000</v>
      </c>
      <c r="X112" s="55"/>
      <c r="Y112" s="55">
        <v>0</v>
      </c>
      <c r="Z112" s="28">
        <f t="shared" si="29"/>
        <v>325000</v>
      </c>
      <c r="AA112" s="51"/>
      <c r="AB112" s="51"/>
      <c r="AC112" s="51"/>
      <c r="AD112" s="51"/>
      <c r="AE112" s="65">
        <v>325000</v>
      </c>
      <c r="AF112" s="51"/>
      <c r="AG112" s="51"/>
      <c r="AH112" s="51"/>
      <c r="AI112" s="51"/>
      <c r="AJ112" s="51"/>
      <c r="AK112" s="51"/>
      <c r="AL112" s="51"/>
      <c r="AM112" s="51"/>
      <c r="AN112" s="51"/>
      <c r="AO112" s="51"/>
      <c r="AP112" s="51"/>
      <c r="AQ112" s="51"/>
      <c r="AR112" s="51"/>
      <c r="AS112" s="51"/>
      <c r="AT112" s="51"/>
      <c r="AU112" s="51"/>
      <c r="AV112" s="51"/>
      <c r="AW112" s="60">
        <v>325000</v>
      </c>
      <c r="AX112" s="51"/>
      <c r="AY112" s="51"/>
      <c r="AZ112" s="51"/>
      <c r="BA112" s="51"/>
      <c r="BB112" s="51"/>
      <c r="BC112" s="51"/>
      <c r="BD112" s="51"/>
      <c r="BE112" s="51"/>
      <c r="BF112" s="51"/>
      <c r="BG112" s="51"/>
      <c r="BH112" s="51"/>
      <c r="BI112" s="51"/>
      <c r="BJ112" s="51"/>
      <c r="BK112" s="51"/>
      <c r="BL112" s="51"/>
      <c r="BM112" s="51"/>
      <c r="BN112" s="51"/>
      <c r="BO112" s="51"/>
      <c r="BP112" s="44">
        <f t="shared" si="30"/>
        <v>0</v>
      </c>
      <c r="BQ112" s="44">
        <f t="shared" si="31"/>
        <v>0</v>
      </c>
      <c r="BR112" s="44">
        <f t="shared" si="32"/>
        <v>-325000</v>
      </c>
      <c r="BS112" s="44">
        <f t="shared" si="33"/>
        <v>0</v>
      </c>
      <c r="BT112" s="127"/>
    </row>
    <row r="113" spans="1:72" s="50" customFormat="1" ht="135" customHeight="1" x14ac:dyDescent="0.25">
      <c r="A113" s="36" t="s">
        <v>858</v>
      </c>
      <c r="B113" s="32" t="s">
        <v>935</v>
      </c>
      <c r="C113" s="32" t="s">
        <v>936</v>
      </c>
      <c r="D113" s="30" t="str">
        <f t="shared" si="28"/>
        <v>1.11-3.4</v>
      </c>
      <c r="E113" s="32" t="s">
        <v>946</v>
      </c>
      <c r="F113" s="30" t="s">
        <v>142</v>
      </c>
      <c r="G113" s="49" t="s">
        <v>498</v>
      </c>
      <c r="H113" s="49" t="s">
        <v>667</v>
      </c>
      <c r="I113" s="58">
        <v>45931</v>
      </c>
      <c r="J113" s="58">
        <v>46295</v>
      </c>
      <c r="K113" s="32"/>
      <c r="L113" s="62" t="s">
        <v>937</v>
      </c>
      <c r="M113" s="32" t="s">
        <v>947</v>
      </c>
      <c r="N113" s="32" t="s">
        <v>938</v>
      </c>
      <c r="O113" s="41" t="s">
        <v>948</v>
      </c>
      <c r="P113" s="41" t="s">
        <v>940</v>
      </c>
      <c r="Q113" s="74" t="s">
        <v>516</v>
      </c>
      <c r="R113" s="74" t="s">
        <v>516</v>
      </c>
      <c r="S113" s="74" t="s">
        <v>949</v>
      </c>
      <c r="T113" s="55">
        <v>2566667</v>
      </c>
      <c r="U113" s="55"/>
      <c r="V113" s="55">
        <v>2566667</v>
      </c>
      <c r="W113" s="55">
        <v>2433333</v>
      </c>
      <c r="X113" s="55"/>
      <c r="Y113" s="55">
        <v>0</v>
      </c>
      <c r="Z113" s="28">
        <f t="shared" si="29"/>
        <v>7566667</v>
      </c>
      <c r="AA113" s="51"/>
      <c r="AB113" s="51"/>
      <c r="AC113" s="51"/>
      <c r="AD113" s="65">
        <v>1500000</v>
      </c>
      <c r="AE113" s="51"/>
      <c r="AF113" s="63"/>
      <c r="AG113" s="51"/>
      <c r="AH113" s="51"/>
      <c r="AI113" s="51"/>
      <c r="AJ113" s="65">
        <f>2566667-1500000</f>
        <v>1066667</v>
      </c>
      <c r="AK113" s="51"/>
      <c r="AL113" s="51"/>
      <c r="AM113" s="51"/>
      <c r="AN113" s="51"/>
      <c r="AO113" s="51"/>
      <c r="AP113" s="51"/>
      <c r="AQ113" s="51"/>
      <c r="AR113" s="51"/>
      <c r="AS113" s="63"/>
      <c r="AT113" s="65"/>
      <c r="AU113" s="51"/>
      <c r="AV113" s="51"/>
      <c r="AW113" s="60">
        <v>1000000</v>
      </c>
      <c r="AX113" s="51"/>
      <c r="AY113" s="51"/>
      <c r="AZ113" s="51"/>
      <c r="BA113" s="51"/>
      <c r="BB113" s="51"/>
      <c r="BC113" s="51"/>
      <c r="BD113" s="51"/>
      <c r="BE113" s="60">
        <v>1433333</v>
      </c>
      <c r="BF113" s="51"/>
      <c r="BG113" s="51"/>
      <c r="BH113" s="63"/>
      <c r="BI113" s="51"/>
      <c r="BJ113" s="51"/>
      <c r="BK113" s="51"/>
      <c r="BL113" s="51"/>
      <c r="BM113" s="51"/>
      <c r="BN113" s="51"/>
      <c r="BO113" s="51"/>
      <c r="BP113" s="44">
        <f t="shared" si="30"/>
        <v>0</v>
      </c>
      <c r="BQ113" s="44">
        <f t="shared" si="31"/>
        <v>0</v>
      </c>
      <c r="BR113" s="44">
        <f t="shared" si="32"/>
        <v>0</v>
      </c>
      <c r="BS113" s="44">
        <f t="shared" si="33"/>
        <v>0</v>
      </c>
      <c r="BT113" s="127"/>
    </row>
    <row r="114" spans="1:72" s="50" customFormat="1" ht="144" customHeight="1" x14ac:dyDescent="0.25">
      <c r="A114" s="36" t="s">
        <v>858</v>
      </c>
      <c r="B114" s="32" t="s">
        <v>950</v>
      </c>
      <c r="C114" s="32" t="s">
        <v>951</v>
      </c>
      <c r="D114" s="30" t="str">
        <f t="shared" si="28"/>
        <v>1.11-4.1</v>
      </c>
      <c r="E114" s="32" t="s">
        <v>150</v>
      </c>
      <c r="F114" s="30" t="s">
        <v>142</v>
      </c>
      <c r="G114" s="49" t="s">
        <v>498</v>
      </c>
      <c r="H114" s="49" t="s">
        <v>667</v>
      </c>
      <c r="I114" s="58">
        <v>46023</v>
      </c>
      <c r="J114" s="58">
        <v>46203</v>
      </c>
      <c r="K114" s="32"/>
      <c r="L114" s="62" t="s">
        <v>952</v>
      </c>
      <c r="M114" s="32" t="s">
        <v>953</v>
      </c>
      <c r="N114" s="32" t="s">
        <v>954</v>
      </c>
      <c r="O114" s="41" t="s">
        <v>955</v>
      </c>
      <c r="P114" s="41" t="s">
        <v>956</v>
      </c>
      <c r="Q114" s="74" t="s">
        <v>516</v>
      </c>
      <c r="R114" s="74" t="s">
        <v>516</v>
      </c>
      <c r="S114" s="74" t="s">
        <v>957</v>
      </c>
      <c r="T114" s="55">
        <v>5578599</v>
      </c>
      <c r="U114" s="55"/>
      <c r="V114" s="55">
        <v>5578599</v>
      </c>
      <c r="W114" s="55">
        <v>5578599</v>
      </c>
      <c r="X114" s="55">
        <v>5578599</v>
      </c>
      <c r="Y114" s="55">
        <v>0</v>
      </c>
      <c r="Z114" s="28">
        <f t="shared" si="29"/>
        <v>22314396</v>
      </c>
      <c r="AA114" s="51"/>
      <c r="AB114" s="51"/>
      <c r="AC114" s="51"/>
      <c r="AD114" s="51">
        <v>5578599</v>
      </c>
      <c r="AE114" s="51"/>
      <c r="AF114" s="51"/>
      <c r="AG114" s="51"/>
      <c r="AH114" s="51"/>
      <c r="AI114" s="51"/>
      <c r="AJ114" s="51"/>
      <c r="AK114" s="51"/>
      <c r="AL114" s="51"/>
      <c r="AM114" s="51"/>
      <c r="AN114" s="51"/>
      <c r="AO114" s="51"/>
      <c r="AP114" s="51"/>
      <c r="AQ114" s="51"/>
      <c r="AR114" s="51"/>
      <c r="AS114" s="51"/>
      <c r="AT114" s="65"/>
      <c r="AU114" s="51"/>
      <c r="AV114" s="51"/>
      <c r="AW114" s="60">
        <v>5578599</v>
      </c>
      <c r="AX114" s="60">
        <v>5578599</v>
      </c>
      <c r="AY114" s="51"/>
      <c r="AZ114" s="51"/>
      <c r="BA114" s="51"/>
      <c r="BB114" s="51"/>
      <c r="BC114" s="51"/>
      <c r="BD114" s="51"/>
      <c r="BE114" s="51"/>
      <c r="BF114" s="51"/>
      <c r="BG114" s="51"/>
      <c r="BH114" s="51"/>
      <c r="BI114" s="51"/>
      <c r="BJ114" s="51"/>
      <c r="BK114" s="51"/>
      <c r="BL114" s="51"/>
      <c r="BM114" s="51"/>
      <c r="BN114" s="51"/>
      <c r="BO114" s="51"/>
      <c r="BP114" s="44">
        <f t="shared" si="30"/>
        <v>0</v>
      </c>
      <c r="BQ114" s="44">
        <f t="shared" si="31"/>
        <v>0</v>
      </c>
      <c r="BR114" s="44">
        <f t="shared" si="32"/>
        <v>0</v>
      </c>
      <c r="BS114" s="44">
        <f t="shared" si="33"/>
        <v>0</v>
      </c>
      <c r="BT114" s="127"/>
    </row>
    <row r="115" spans="1:72" s="50" customFormat="1" ht="144" customHeight="1" x14ac:dyDescent="0.25">
      <c r="A115" s="36" t="s">
        <v>858</v>
      </c>
      <c r="B115" s="32" t="s">
        <v>950</v>
      </c>
      <c r="C115" s="32" t="s">
        <v>951</v>
      </c>
      <c r="D115" s="30" t="str">
        <f t="shared" si="28"/>
        <v>1.11-4.2</v>
      </c>
      <c r="E115" s="32" t="s">
        <v>958</v>
      </c>
      <c r="F115" s="30" t="s">
        <v>142</v>
      </c>
      <c r="G115" s="49" t="s">
        <v>498</v>
      </c>
      <c r="H115" s="49" t="s">
        <v>667</v>
      </c>
      <c r="I115" s="71">
        <v>46024</v>
      </c>
      <c r="J115" s="71">
        <v>46203</v>
      </c>
      <c r="K115" s="32"/>
      <c r="L115" s="62" t="s">
        <v>952</v>
      </c>
      <c r="M115" s="32" t="s">
        <v>953</v>
      </c>
      <c r="N115" s="32" t="s">
        <v>954</v>
      </c>
      <c r="O115" s="41" t="s">
        <v>959</v>
      </c>
      <c r="P115" s="41" t="s">
        <v>956</v>
      </c>
      <c r="Q115" s="74" t="s">
        <v>363</v>
      </c>
      <c r="R115" s="74" t="s">
        <v>415</v>
      </c>
      <c r="S115" s="74" t="s">
        <v>376</v>
      </c>
      <c r="T115" s="55">
        <v>0</v>
      </c>
      <c r="U115" s="55"/>
      <c r="V115" s="55">
        <v>0</v>
      </c>
      <c r="W115" s="55">
        <v>0</v>
      </c>
      <c r="X115" s="55"/>
      <c r="Y115" s="55">
        <v>0</v>
      </c>
      <c r="Z115" s="28">
        <f t="shared" si="29"/>
        <v>0</v>
      </c>
      <c r="AA115" s="51"/>
      <c r="AB115" s="51"/>
      <c r="AC115" s="51"/>
      <c r="AD115" s="51"/>
      <c r="AE115" s="51"/>
      <c r="AF115" s="51"/>
      <c r="AG115" s="51"/>
      <c r="AH115" s="51"/>
      <c r="AI115" s="51"/>
      <c r="AJ115" s="65">
        <v>418688</v>
      </c>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44">
        <f t="shared" si="30"/>
        <v>-418688</v>
      </c>
      <c r="BQ115" s="44">
        <f t="shared" si="31"/>
        <v>0</v>
      </c>
      <c r="BR115" s="44">
        <f t="shared" si="32"/>
        <v>0</v>
      </c>
      <c r="BS115" s="44">
        <f t="shared" si="33"/>
        <v>0</v>
      </c>
    </row>
    <row r="116" spans="1:72" s="50" customFormat="1" ht="144" customHeight="1" x14ac:dyDescent="0.25">
      <c r="A116" s="36" t="s">
        <v>858</v>
      </c>
      <c r="B116" s="32" t="s">
        <v>950</v>
      </c>
      <c r="C116" s="32" t="s">
        <v>951</v>
      </c>
      <c r="D116" s="30" t="str">
        <f t="shared" si="28"/>
        <v>1.11-4.3</v>
      </c>
      <c r="E116" s="32" t="s">
        <v>960</v>
      </c>
      <c r="F116" s="30" t="s">
        <v>142</v>
      </c>
      <c r="G116" s="49" t="s">
        <v>498</v>
      </c>
      <c r="H116" s="49" t="s">
        <v>667</v>
      </c>
      <c r="I116" s="126">
        <v>46143</v>
      </c>
      <c r="J116" s="71">
        <v>46203</v>
      </c>
      <c r="K116" s="32"/>
      <c r="L116" s="62" t="s">
        <v>952</v>
      </c>
      <c r="M116" s="32" t="s">
        <v>953</v>
      </c>
      <c r="N116" s="32" t="s">
        <v>954</v>
      </c>
      <c r="O116" s="41" t="s">
        <v>961</v>
      </c>
      <c r="P116" s="41" t="s">
        <v>956</v>
      </c>
      <c r="Q116" s="74" t="s">
        <v>363</v>
      </c>
      <c r="R116" s="74" t="s">
        <v>363</v>
      </c>
      <c r="S116" s="74" t="s">
        <v>962</v>
      </c>
      <c r="T116" s="55">
        <v>0</v>
      </c>
      <c r="U116" s="55">
        <v>0</v>
      </c>
      <c r="V116" s="55">
        <v>0</v>
      </c>
      <c r="W116" s="55">
        <v>0</v>
      </c>
      <c r="X116" s="55">
        <v>0</v>
      </c>
      <c r="Y116" s="55">
        <v>0</v>
      </c>
      <c r="Z116" s="28">
        <f t="shared" si="29"/>
        <v>0</v>
      </c>
      <c r="AA116" s="51"/>
      <c r="AB116" s="51"/>
      <c r="AC116" s="51"/>
      <c r="AD116" s="51"/>
      <c r="AE116" s="51"/>
      <c r="AF116" s="51"/>
      <c r="AG116" s="51"/>
      <c r="AH116" s="51"/>
      <c r="AI116" s="51"/>
      <c r="AJ116" s="51"/>
      <c r="AK116" s="51"/>
      <c r="AL116" s="51"/>
      <c r="AM116" s="51"/>
      <c r="AN116" s="51"/>
      <c r="AO116" s="51"/>
      <c r="AP116" s="51"/>
      <c r="AQ116" s="65">
        <v>3145620</v>
      </c>
      <c r="AR116" s="65">
        <v>11583160.76</v>
      </c>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44">
        <f t="shared" si="30"/>
        <v>0</v>
      </c>
      <c r="BQ116" s="44">
        <f t="shared" si="31"/>
        <v>0</v>
      </c>
      <c r="BR116" s="44">
        <f t="shared" si="32"/>
        <v>-3145620</v>
      </c>
      <c r="BS116" s="44">
        <f t="shared" si="33"/>
        <v>-11583160.76</v>
      </c>
    </row>
    <row r="117" spans="1:72" s="50" customFormat="1" ht="144" customHeight="1" x14ac:dyDescent="0.25">
      <c r="A117" s="36" t="s">
        <v>858</v>
      </c>
      <c r="B117" s="32" t="s">
        <v>950</v>
      </c>
      <c r="C117" s="32" t="s">
        <v>951</v>
      </c>
      <c r="D117" s="30" t="str">
        <f t="shared" si="28"/>
        <v>1.11-4.4</v>
      </c>
      <c r="E117" s="32" t="s">
        <v>963</v>
      </c>
      <c r="F117" s="30" t="s">
        <v>142</v>
      </c>
      <c r="G117" s="49" t="s">
        <v>498</v>
      </c>
      <c r="H117" s="49" t="s">
        <v>667</v>
      </c>
      <c r="I117" s="71">
        <v>46174</v>
      </c>
      <c r="J117" s="71">
        <v>46203</v>
      </c>
      <c r="K117" s="73"/>
      <c r="L117" s="62" t="s">
        <v>952</v>
      </c>
      <c r="M117" s="32" t="s">
        <v>953</v>
      </c>
      <c r="N117" s="32" t="s">
        <v>954</v>
      </c>
      <c r="O117" s="41" t="s">
        <v>961</v>
      </c>
      <c r="P117" s="41" t="s">
        <v>956</v>
      </c>
      <c r="Q117" s="74" t="s">
        <v>363</v>
      </c>
      <c r="R117" s="74" t="s">
        <v>363</v>
      </c>
      <c r="S117" s="74" t="s">
        <v>376</v>
      </c>
      <c r="T117" s="55"/>
      <c r="U117" s="55"/>
      <c r="V117" s="55">
        <v>0</v>
      </c>
      <c r="W117" s="55"/>
      <c r="X117" s="55">
        <v>0</v>
      </c>
      <c r="Y117" s="55">
        <v>0</v>
      </c>
      <c r="Z117" s="28">
        <f t="shared" si="29"/>
        <v>0</v>
      </c>
      <c r="AA117" s="51"/>
      <c r="AB117" s="51"/>
      <c r="AC117" s="51"/>
      <c r="AD117" s="51"/>
      <c r="AE117" s="51"/>
      <c r="AF117" s="51"/>
      <c r="AG117" s="51"/>
      <c r="AH117" s="51"/>
      <c r="AI117" s="51"/>
      <c r="AJ117" s="51"/>
      <c r="AK117" s="51"/>
      <c r="AL117" s="51"/>
      <c r="AM117" s="51"/>
      <c r="AN117" s="51"/>
      <c r="AO117" s="51"/>
      <c r="AP117" s="51"/>
      <c r="AQ117" s="65"/>
      <c r="AR117" s="65"/>
      <c r="AS117" s="51"/>
      <c r="AT117" s="51"/>
      <c r="AU117" s="51"/>
      <c r="AV117" s="51"/>
      <c r="AW117" s="51"/>
      <c r="AX117" s="51"/>
      <c r="AY117" s="51"/>
      <c r="AZ117" s="51"/>
      <c r="BA117" s="51"/>
      <c r="BB117" s="65"/>
      <c r="BC117" s="65"/>
      <c r="BD117" s="51"/>
      <c r="BE117" s="51"/>
      <c r="BF117" s="51"/>
      <c r="BG117" s="51"/>
      <c r="BH117" s="51"/>
      <c r="BI117" s="51"/>
      <c r="BJ117" s="51"/>
      <c r="BK117" s="51"/>
      <c r="BL117" s="51"/>
      <c r="BM117" s="51"/>
      <c r="BN117" s="51"/>
      <c r="BO117" s="51"/>
      <c r="BP117" s="44">
        <f t="shared" si="30"/>
        <v>0</v>
      </c>
      <c r="BQ117" s="44">
        <f t="shared" si="31"/>
        <v>0</v>
      </c>
      <c r="BR117" s="44">
        <f t="shared" si="32"/>
        <v>0</v>
      </c>
      <c r="BS117" s="44">
        <f t="shared" si="33"/>
        <v>0</v>
      </c>
    </row>
    <row r="118" spans="1:72" s="50" customFormat="1" ht="144" customHeight="1" x14ac:dyDescent="0.25">
      <c r="A118" s="36" t="s">
        <v>858</v>
      </c>
      <c r="B118" s="32" t="s">
        <v>950</v>
      </c>
      <c r="C118" s="32" t="s">
        <v>951</v>
      </c>
      <c r="D118" s="30" t="str">
        <f t="shared" si="28"/>
        <v>1.11-4.5</v>
      </c>
      <c r="E118" s="32" t="s">
        <v>964</v>
      </c>
      <c r="F118" s="30" t="s">
        <v>142</v>
      </c>
      <c r="G118" s="49" t="s">
        <v>450</v>
      </c>
      <c r="H118" s="49" t="s">
        <v>667</v>
      </c>
      <c r="I118" s="71">
        <v>46205</v>
      </c>
      <c r="J118" s="71">
        <v>46233</v>
      </c>
      <c r="K118" s="32"/>
      <c r="L118" s="62" t="s">
        <v>952</v>
      </c>
      <c r="M118" s="32" t="s">
        <v>953</v>
      </c>
      <c r="N118" s="32" t="s">
        <v>965</v>
      </c>
      <c r="O118" s="41" t="s">
        <v>966</v>
      </c>
      <c r="P118" s="41" t="s">
        <v>956</v>
      </c>
      <c r="Q118" s="74" t="s">
        <v>363</v>
      </c>
      <c r="R118" s="74" t="s">
        <v>363</v>
      </c>
      <c r="S118" s="74" t="s">
        <v>376</v>
      </c>
      <c r="T118" s="55">
        <v>0</v>
      </c>
      <c r="U118" s="55">
        <v>0</v>
      </c>
      <c r="V118" s="55">
        <v>0</v>
      </c>
      <c r="W118" s="55">
        <v>0</v>
      </c>
      <c r="X118" s="55">
        <v>0</v>
      </c>
      <c r="Y118" s="55">
        <v>0</v>
      </c>
      <c r="Z118" s="28">
        <f t="shared" si="29"/>
        <v>0</v>
      </c>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63"/>
      <c r="AY118" s="63"/>
      <c r="AZ118" s="51"/>
      <c r="BA118" s="51"/>
      <c r="BB118" s="51"/>
      <c r="BC118" s="51"/>
      <c r="BD118" s="51"/>
      <c r="BE118" s="51"/>
      <c r="BF118" s="65"/>
      <c r="BG118" s="65"/>
      <c r="BH118" s="51"/>
      <c r="BI118" s="51"/>
      <c r="BJ118" s="51"/>
      <c r="BK118" s="51"/>
      <c r="BL118" s="51"/>
      <c r="BM118" s="51"/>
      <c r="BN118" s="51"/>
      <c r="BO118" s="51"/>
      <c r="BP118" s="44">
        <f t="shared" si="30"/>
        <v>0</v>
      </c>
      <c r="BQ118" s="44">
        <f t="shared" si="31"/>
        <v>0</v>
      </c>
      <c r="BR118" s="44">
        <f t="shared" si="32"/>
        <v>0</v>
      </c>
      <c r="BS118" s="44">
        <f t="shared" si="33"/>
        <v>0</v>
      </c>
    </row>
    <row r="119" spans="1:72" s="50" customFormat="1" ht="101.1" customHeight="1" x14ac:dyDescent="0.25">
      <c r="A119" s="36" t="s">
        <v>858</v>
      </c>
      <c r="B119" s="32" t="s">
        <v>950</v>
      </c>
      <c r="C119" s="32" t="s">
        <v>951</v>
      </c>
      <c r="D119" s="30" t="str">
        <f t="shared" si="28"/>
        <v>1.11-4.6</v>
      </c>
      <c r="E119" s="32" t="s">
        <v>967</v>
      </c>
      <c r="F119" s="30" t="s">
        <v>968</v>
      </c>
      <c r="G119" s="49" t="s">
        <v>450</v>
      </c>
      <c r="H119" s="49"/>
      <c r="I119" s="71">
        <v>46144</v>
      </c>
      <c r="J119" s="71">
        <v>46173</v>
      </c>
      <c r="K119" s="32" t="s">
        <v>969</v>
      </c>
      <c r="L119" s="62" t="s">
        <v>952</v>
      </c>
      <c r="M119" s="42" t="s">
        <v>970</v>
      </c>
      <c r="N119" s="32" t="s">
        <v>965</v>
      </c>
      <c r="O119" s="41" t="s">
        <v>971</v>
      </c>
      <c r="P119" s="41" t="s">
        <v>956</v>
      </c>
      <c r="Q119" s="74" t="s">
        <v>363</v>
      </c>
      <c r="R119" s="74" t="s">
        <v>415</v>
      </c>
      <c r="S119" s="30" t="s">
        <v>972</v>
      </c>
      <c r="T119" s="66">
        <v>0</v>
      </c>
      <c r="U119" s="66">
        <v>26027454</v>
      </c>
      <c r="V119" s="66">
        <v>26027454</v>
      </c>
      <c r="W119" s="55">
        <v>1440000</v>
      </c>
      <c r="X119" s="55"/>
      <c r="Y119" s="55">
        <v>0</v>
      </c>
      <c r="Z119" s="28">
        <f t="shared" si="29"/>
        <v>53494908</v>
      </c>
      <c r="AA119" s="51"/>
      <c r="AB119" s="51"/>
      <c r="AC119" s="51"/>
      <c r="AD119" s="51"/>
      <c r="AE119" s="51"/>
      <c r="AF119" s="51"/>
      <c r="AG119" s="51"/>
      <c r="AH119" s="51"/>
      <c r="AI119" s="51"/>
      <c r="AJ119" s="51"/>
      <c r="AK119" s="51"/>
      <c r="AL119" s="51"/>
      <c r="AM119" s="65">
        <v>18560101</v>
      </c>
      <c r="AN119" s="65">
        <v>1440000</v>
      </c>
      <c r="AO119" s="65"/>
      <c r="AP119" s="51"/>
      <c r="AQ119" s="51"/>
      <c r="AR119" s="51"/>
      <c r="AS119" s="51"/>
      <c r="AT119" s="51"/>
      <c r="AU119" s="51"/>
      <c r="AV119" s="60">
        <v>26027454</v>
      </c>
      <c r="AW119" s="60">
        <v>1440000</v>
      </c>
      <c r="AX119" s="51"/>
      <c r="AY119" s="51"/>
      <c r="AZ119" s="51"/>
      <c r="BA119" s="51"/>
      <c r="BB119" s="51"/>
      <c r="BC119" s="51"/>
      <c r="BD119" s="51"/>
      <c r="BE119" s="51"/>
      <c r="BF119" s="51"/>
      <c r="BG119" s="51"/>
      <c r="BH119" s="51"/>
      <c r="BI119" s="51"/>
      <c r="BJ119" s="51"/>
      <c r="BK119" s="51"/>
      <c r="BL119" s="51"/>
      <c r="BM119" s="51"/>
      <c r="BN119" s="51"/>
      <c r="BO119" s="51"/>
      <c r="BP119" s="44">
        <f t="shared" si="30"/>
        <v>-18560101</v>
      </c>
      <c r="BQ119" s="44">
        <f t="shared" si="31"/>
        <v>0</v>
      </c>
      <c r="BR119" s="44">
        <f t="shared" si="32"/>
        <v>-1440000</v>
      </c>
      <c r="BS119" s="44">
        <f t="shared" si="33"/>
        <v>0</v>
      </c>
    </row>
    <row r="120" spans="1:72" s="50" customFormat="1" ht="101.1" customHeight="1" x14ac:dyDescent="0.25">
      <c r="A120" s="36" t="s">
        <v>858</v>
      </c>
      <c r="B120" s="32" t="s">
        <v>950</v>
      </c>
      <c r="C120" s="32" t="s">
        <v>951</v>
      </c>
      <c r="D120" s="30" t="str">
        <f t="shared" si="28"/>
        <v>1.11-4.7</v>
      </c>
      <c r="E120" s="32" t="s">
        <v>973</v>
      </c>
      <c r="F120" s="30" t="s">
        <v>968</v>
      </c>
      <c r="G120" s="49" t="s">
        <v>461</v>
      </c>
      <c r="H120" s="49"/>
      <c r="I120" s="71">
        <v>46144</v>
      </c>
      <c r="J120" s="71">
        <v>46173</v>
      </c>
      <c r="K120" s="32" t="s">
        <v>974</v>
      </c>
      <c r="L120" s="62" t="s">
        <v>952</v>
      </c>
      <c r="M120" s="42" t="s">
        <v>970</v>
      </c>
      <c r="N120" s="32" t="s">
        <v>965</v>
      </c>
      <c r="O120" s="41" t="s">
        <v>975</v>
      </c>
      <c r="P120" s="41" t="s">
        <v>956</v>
      </c>
      <c r="Q120" s="74" t="s">
        <v>363</v>
      </c>
      <c r="R120" s="74" t="s">
        <v>363</v>
      </c>
      <c r="S120" s="74" t="s">
        <v>976</v>
      </c>
      <c r="T120" s="66">
        <v>0</v>
      </c>
      <c r="U120" s="66">
        <v>0</v>
      </c>
      <c r="V120" s="66">
        <v>0</v>
      </c>
      <c r="W120" s="55">
        <v>7000000</v>
      </c>
      <c r="X120" s="55">
        <v>10000000</v>
      </c>
      <c r="Y120" s="55">
        <v>0</v>
      </c>
      <c r="Z120" s="28">
        <f t="shared" si="29"/>
        <v>17000000</v>
      </c>
      <c r="AA120" s="51"/>
      <c r="AB120" s="51"/>
      <c r="AC120" s="51"/>
      <c r="AD120" s="51"/>
      <c r="AE120" s="51"/>
      <c r="AF120" s="51"/>
      <c r="AG120" s="51"/>
      <c r="AH120" s="51"/>
      <c r="AI120" s="51"/>
      <c r="AJ120" s="51"/>
      <c r="AK120" s="51"/>
      <c r="AL120" s="51"/>
      <c r="AM120" s="65"/>
      <c r="AN120" s="65">
        <v>7000000</v>
      </c>
      <c r="AO120" s="65">
        <v>10000000</v>
      </c>
      <c r="AP120" s="51"/>
      <c r="AQ120" s="51"/>
      <c r="AR120" s="51"/>
      <c r="AS120" s="51"/>
      <c r="AT120" s="51"/>
      <c r="AU120" s="51"/>
      <c r="AV120" s="51"/>
      <c r="AW120" s="60">
        <v>7000000</v>
      </c>
      <c r="AX120" s="60">
        <v>10000000</v>
      </c>
      <c r="AY120" s="51"/>
      <c r="AZ120" s="51"/>
      <c r="BA120" s="51"/>
      <c r="BB120" s="51"/>
      <c r="BC120" s="51"/>
      <c r="BD120" s="51"/>
      <c r="BE120" s="51"/>
      <c r="BF120" s="51"/>
      <c r="BG120" s="51"/>
      <c r="BH120" s="51"/>
      <c r="BI120" s="51"/>
      <c r="BJ120" s="51"/>
      <c r="BK120" s="51"/>
      <c r="BL120" s="51"/>
      <c r="BM120" s="51"/>
      <c r="BN120" s="51"/>
      <c r="BO120" s="51"/>
      <c r="BP120" s="44">
        <f t="shared" si="30"/>
        <v>0</v>
      </c>
      <c r="BQ120" s="44">
        <f t="shared" si="31"/>
        <v>0</v>
      </c>
      <c r="BR120" s="44">
        <f t="shared" si="32"/>
        <v>-7000000</v>
      </c>
      <c r="BS120" s="44">
        <f t="shared" si="33"/>
        <v>-10000000</v>
      </c>
    </row>
    <row r="121" spans="1:72" s="50" customFormat="1" ht="101.1" customHeight="1" x14ac:dyDescent="0.25">
      <c r="A121" s="36" t="s">
        <v>858</v>
      </c>
      <c r="B121" s="32" t="s">
        <v>950</v>
      </c>
      <c r="C121" s="32" t="s">
        <v>951</v>
      </c>
      <c r="D121" s="30" t="str">
        <f t="shared" si="28"/>
        <v>1.11-4.8</v>
      </c>
      <c r="E121" s="32" t="s">
        <v>977</v>
      </c>
      <c r="F121" s="30" t="s">
        <v>142</v>
      </c>
      <c r="G121" s="49" t="s">
        <v>498</v>
      </c>
      <c r="H121" s="49" t="s">
        <v>667</v>
      </c>
      <c r="I121" s="71">
        <v>46204</v>
      </c>
      <c r="J121" s="71">
        <v>46213</v>
      </c>
      <c r="K121" s="32" t="s">
        <v>978</v>
      </c>
      <c r="L121" s="62" t="s">
        <v>952</v>
      </c>
      <c r="M121" s="42" t="s">
        <v>970</v>
      </c>
      <c r="N121" s="32" t="s">
        <v>965</v>
      </c>
      <c r="O121" s="41" t="s">
        <v>979</v>
      </c>
      <c r="P121" s="41" t="s">
        <v>956</v>
      </c>
      <c r="Q121" s="74" t="s">
        <v>363</v>
      </c>
      <c r="R121" s="74" t="s">
        <v>363</v>
      </c>
      <c r="S121" s="74" t="s">
        <v>980</v>
      </c>
      <c r="T121" s="66"/>
      <c r="U121" s="66"/>
      <c r="V121" s="66">
        <v>0</v>
      </c>
      <c r="W121" s="55">
        <v>0</v>
      </c>
      <c r="X121" s="55">
        <v>0</v>
      </c>
      <c r="Y121" s="55">
        <v>10000000</v>
      </c>
      <c r="Z121" s="28">
        <f t="shared" si="29"/>
        <v>10000000</v>
      </c>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65"/>
      <c r="BB121" s="65"/>
      <c r="BC121" s="60">
        <v>10000000</v>
      </c>
      <c r="BD121" s="51"/>
      <c r="BE121" s="51"/>
      <c r="BF121" s="51"/>
      <c r="BG121" s="51"/>
      <c r="BH121" s="51"/>
      <c r="BI121" s="51"/>
      <c r="BJ121" s="51"/>
      <c r="BK121" s="51"/>
      <c r="BL121" s="51"/>
      <c r="BM121" s="51"/>
      <c r="BN121" s="51"/>
      <c r="BO121" s="51"/>
      <c r="BP121" s="44">
        <f t="shared" si="30"/>
        <v>0</v>
      </c>
      <c r="BQ121" s="44">
        <f t="shared" si="31"/>
        <v>0</v>
      </c>
      <c r="BR121" s="44">
        <f t="shared" si="32"/>
        <v>0</v>
      </c>
      <c r="BS121" s="44">
        <f t="shared" si="33"/>
        <v>0</v>
      </c>
    </row>
    <row r="122" spans="1:72" s="50" customFormat="1" ht="96" customHeight="1" x14ac:dyDescent="0.25">
      <c r="A122" s="36" t="s">
        <v>858</v>
      </c>
      <c r="B122" s="32" t="s">
        <v>981</v>
      </c>
      <c r="C122" s="32" t="s">
        <v>982</v>
      </c>
      <c r="D122" s="30" t="str">
        <f t="shared" si="28"/>
        <v>1.11-5.1</v>
      </c>
      <c r="E122" s="32" t="s">
        <v>983</v>
      </c>
      <c r="F122" s="30" t="s">
        <v>984</v>
      </c>
      <c r="G122" s="49" t="s">
        <v>498</v>
      </c>
      <c r="H122" s="49" t="s">
        <v>667</v>
      </c>
      <c r="I122" s="71">
        <v>46054</v>
      </c>
      <c r="J122" s="58">
        <v>46233</v>
      </c>
      <c r="K122" s="42" t="s">
        <v>985</v>
      </c>
      <c r="L122" s="62" t="s">
        <v>986</v>
      </c>
      <c r="M122" s="32" t="s">
        <v>987</v>
      </c>
      <c r="N122" s="32" t="s">
        <v>988</v>
      </c>
      <c r="O122" s="41" t="s">
        <v>989</v>
      </c>
      <c r="P122" s="41" t="s">
        <v>990</v>
      </c>
      <c r="Q122" s="74" t="s">
        <v>363</v>
      </c>
      <c r="R122" s="74" t="s">
        <v>363</v>
      </c>
      <c r="S122" s="74" t="s">
        <v>376</v>
      </c>
      <c r="T122" s="55"/>
      <c r="U122" s="55">
        <v>0</v>
      </c>
      <c r="V122" s="55">
        <v>0</v>
      </c>
      <c r="W122" s="55">
        <v>0</v>
      </c>
      <c r="X122" s="55">
        <v>0</v>
      </c>
      <c r="Y122" s="55">
        <v>0</v>
      </c>
      <c r="Z122" s="28">
        <f t="shared" si="29"/>
        <v>0</v>
      </c>
      <c r="AA122" s="51"/>
      <c r="AB122" s="51"/>
      <c r="AC122" s="51"/>
      <c r="AD122" s="51"/>
      <c r="AE122" s="51"/>
      <c r="AF122" s="51"/>
      <c r="AG122" s="51"/>
      <c r="AH122" s="51"/>
      <c r="AI122" s="51"/>
      <c r="AJ122" s="51"/>
      <c r="AK122" s="51"/>
      <c r="AL122" s="51"/>
      <c r="AM122" s="51"/>
      <c r="AN122" s="51"/>
      <c r="AO122" s="51"/>
      <c r="AP122" s="119"/>
      <c r="AQ122" s="119">
        <v>430000</v>
      </c>
      <c r="AR122" s="119">
        <v>630000</v>
      </c>
      <c r="AS122" s="119"/>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44">
        <f t="shared" si="30"/>
        <v>0</v>
      </c>
      <c r="BQ122" s="44">
        <f t="shared" si="31"/>
        <v>0</v>
      </c>
      <c r="BR122" s="44">
        <f t="shared" si="32"/>
        <v>-430000</v>
      </c>
      <c r="BS122" s="44">
        <f t="shared" si="33"/>
        <v>-630000</v>
      </c>
    </row>
    <row r="123" spans="1:72" s="50" customFormat="1" ht="96" customHeight="1" x14ac:dyDescent="0.25">
      <c r="A123" s="36" t="s">
        <v>858</v>
      </c>
      <c r="B123" s="32" t="s">
        <v>981</v>
      </c>
      <c r="C123" s="32" t="s">
        <v>982</v>
      </c>
      <c r="D123" s="30" t="str">
        <f t="shared" si="28"/>
        <v>1.11-5.2</v>
      </c>
      <c r="E123" s="32" t="s">
        <v>991</v>
      </c>
      <c r="F123" s="30" t="s">
        <v>984</v>
      </c>
      <c r="G123" s="49" t="s">
        <v>450</v>
      </c>
      <c r="H123" s="49" t="s">
        <v>667</v>
      </c>
      <c r="I123" s="71">
        <v>45931</v>
      </c>
      <c r="J123" s="58">
        <v>46264</v>
      </c>
      <c r="K123" s="42" t="s">
        <v>992</v>
      </c>
      <c r="L123" s="62" t="s">
        <v>986</v>
      </c>
      <c r="M123" s="32" t="s">
        <v>987</v>
      </c>
      <c r="N123" s="32" t="s">
        <v>988</v>
      </c>
      <c r="O123" s="41" t="s">
        <v>993</v>
      </c>
      <c r="P123" s="41" t="s">
        <v>994</v>
      </c>
      <c r="Q123" s="74" t="s">
        <v>363</v>
      </c>
      <c r="R123" s="74" t="s">
        <v>539</v>
      </c>
      <c r="S123" s="74" t="s">
        <v>995</v>
      </c>
      <c r="T123" s="55">
        <v>0</v>
      </c>
      <c r="U123" s="55">
        <v>0</v>
      </c>
      <c r="V123" s="55">
        <v>0</v>
      </c>
      <c r="W123" s="55">
        <v>1000000</v>
      </c>
      <c r="X123" s="55">
        <v>1500000</v>
      </c>
      <c r="Y123" s="55">
        <v>2500000</v>
      </c>
      <c r="Z123" s="28">
        <f t="shared" si="29"/>
        <v>5000000</v>
      </c>
      <c r="AA123" s="51"/>
      <c r="AB123" s="51"/>
      <c r="AC123" s="51"/>
      <c r="AD123" s="51"/>
      <c r="AE123" s="51"/>
      <c r="AF123" s="51"/>
      <c r="AG123" s="51"/>
      <c r="AH123" s="51"/>
      <c r="AI123" s="51"/>
      <c r="AJ123" s="51"/>
      <c r="AK123" s="51">
        <f>W123/2</f>
        <v>500000</v>
      </c>
      <c r="AL123" s="51">
        <f>X123/2</f>
        <v>750000</v>
      </c>
      <c r="AM123" s="51"/>
      <c r="AN123" s="51"/>
      <c r="AO123" s="51"/>
      <c r="AP123" s="51"/>
      <c r="AQ123" s="51"/>
      <c r="AR123" s="51"/>
      <c r="AS123" s="51"/>
      <c r="AT123" s="51"/>
      <c r="AU123" s="51"/>
      <c r="AV123" s="51"/>
      <c r="AW123" s="60">
        <v>1000000</v>
      </c>
      <c r="AX123" s="60">
        <v>1500000</v>
      </c>
      <c r="AY123" s="51"/>
      <c r="AZ123" s="51"/>
      <c r="BA123" s="51"/>
      <c r="BB123" s="51"/>
      <c r="BC123" s="51"/>
      <c r="BD123" s="51"/>
      <c r="BE123" s="51"/>
      <c r="BF123" s="51"/>
      <c r="BG123" s="51"/>
      <c r="BH123" s="51"/>
      <c r="BI123" s="51"/>
      <c r="BJ123" s="51"/>
      <c r="BK123" s="60">
        <v>2500000</v>
      </c>
      <c r="BL123" s="51"/>
      <c r="BM123" s="51"/>
      <c r="BN123" s="51"/>
      <c r="BO123" s="51"/>
      <c r="BP123" s="44">
        <f t="shared" si="30"/>
        <v>0</v>
      </c>
      <c r="BQ123" s="44">
        <f t="shared" si="31"/>
        <v>0</v>
      </c>
      <c r="BR123" s="44">
        <f t="shared" si="32"/>
        <v>-500000</v>
      </c>
      <c r="BS123" s="44">
        <f t="shared" si="33"/>
        <v>-750000</v>
      </c>
    </row>
    <row r="124" spans="1:72" s="50" customFormat="1" ht="96" customHeight="1" x14ac:dyDescent="0.25">
      <c r="A124" s="36" t="s">
        <v>858</v>
      </c>
      <c r="B124" s="32" t="s">
        <v>981</v>
      </c>
      <c r="C124" s="32" t="s">
        <v>982</v>
      </c>
      <c r="D124" s="30" t="str">
        <f t="shared" si="28"/>
        <v>1.11-5.3</v>
      </c>
      <c r="E124" s="32" t="s">
        <v>996</v>
      </c>
      <c r="F124" s="30" t="s">
        <v>984</v>
      </c>
      <c r="G124" s="49" t="s">
        <v>498</v>
      </c>
      <c r="H124" s="49" t="s">
        <v>608</v>
      </c>
      <c r="I124" s="71">
        <v>45962</v>
      </c>
      <c r="J124" s="58">
        <v>46203</v>
      </c>
      <c r="K124" s="42" t="s">
        <v>997</v>
      </c>
      <c r="L124" s="62" t="s">
        <v>986</v>
      </c>
      <c r="M124" s="32" t="s">
        <v>987</v>
      </c>
      <c r="N124" s="32" t="s">
        <v>988</v>
      </c>
      <c r="O124" s="41" t="s">
        <v>998</v>
      </c>
      <c r="P124" s="41" t="s">
        <v>994</v>
      </c>
      <c r="Q124" s="74" t="s">
        <v>363</v>
      </c>
      <c r="R124" s="74" t="s">
        <v>363</v>
      </c>
      <c r="S124" s="74" t="s">
        <v>376</v>
      </c>
      <c r="T124" s="55">
        <v>0</v>
      </c>
      <c r="U124" s="55"/>
      <c r="V124" s="55">
        <v>0</v>
      </c>
      <c r="W124" s="66"/>
      <c r="X124" s="66"/>
      <c r="Y124" s="66">
        <v>0</v>
      </c>
      <c r="Z124" s="28">
        <f t="shared" si="29"/>
        <v>0</v>
      </c>
      <c r="AA124" s="51"/>
      <c r="AB124" s="51"/>
      <c r="AC124" s="51"/>
      <c r="AD124" s="51">
        <v>0</v>
      </c>
      <c r="AE124" s="51">
        <v>0</v>
      </c>
      <c r="AF124" s="51">
        <v>0</v>
      </c>
      <c r="AG124" s="51">
        <v>0</v>
      </c>
      <c r="AH124" s="51">
        <v>0</v>
      </c>
      <c r="AI124" s="51">
        <v>0</v>
      </c>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44">
        <f t="shared" si="30"/>
        <v>0</v>
      </c>
      <c r="BQ124" s="44">
        <f t="shared" si="31"/>
        <v>0</v>
      </c>
      <c r="BR124" s="44">
        <f t="shared" si="32"/>
        <v>0</v>
      </c>
      <c r="BS124" s="44">
        <f t="shared" si="33"/>
        <v>0</v>
      </c>
    </row>
    <row r="125" spans="1:72" s="50" customFormat="1" ht="96" customHeight="1" x14ac:dyDescent="0.25">
      <c r="A125" s="36" t="s">
        <v>858</v>
      </c>
      <c r="B125" s="32" t="s">
        <v>981</v>
      </c>
      <c r="C125" s="32" t="s">
        <v>982</v>
      </c>
      <c r="D125" s="30" t="str">
        <f t="shared" si="28"/>
        <v>1.11-5.4</v>
      </c>
      <c r="E125" s="32" t="s">
        <v>999</v>
      </c>
      <c r="F125" s="30" t="s">
        <v>984</v>
      </c>
      <c r="G125" s="49" t="s">
        <v>498</v>
      </c>
      <c r="H125" s="49" t="s">
        <v>667</v>
      </c>
      <c r="I125" s="71">
        <v>45931</v>
      </c>
      <c r="J125" s="58">
        <v>46233</v>
      </c>
      <c r="K125" s="42" t="s">
        <v>1000</v>
      </c>
      <c r="L125" s="62" t="s">
        <v>986</v>
      </c>
      <c r="M125" s="32" t="s">
        <v>987</v>
      </c>
      <c r="N125" s="32" t="s">
        <v>988</v>
      </c>
      <c r="O125" s="41" t="s">
        <v>1001</v>
      </c>
      <c r="P125" s="41" t="s">
        <v>994</v>
      </c>
      <c r="Q125" s="74" t="s">
        <v>363</v>
      </c>
      <c r="R125" s="74" t="s">
        <v>415</v>
      </c>
      <c r="S125" s="74" t="s">
        <v>1002</v>
      </c>
      <c r="T125" s="55"/>
      <c r="U125" s="55">
        <v>0</v>
      </c>
      <c r="V125" s="55">
        <v>0</v>
      </c>
      <c r="W125" s="55">
        <v>0</v>
      </c>
      <c r="X125" s="55">
        <v>0</v>
      </c>
      <c r="Y125" s="55">
        <v>1950000</v>
      </c>
      <c r="Z125" s="28">
        <f t="shared" si="29"/>
        <v>1950000</v>
      </c>
      <c r="AA125" s="51"/>
      <c r="AB125" s="51"/>
      <c r="AC125" s="51"/>
      <c r="AD125" s="51"/>
      <c r="AE125" s="51"/>
      <c r="AF125" s="51"/>
      <c r="AG125" s="51"/>
      <c r="AH125" s="51"/>
      <c r="AI125" s="51"/>
      <c r="AJ125" s="51">
        <v>0</v>
      </c>
      <c r="AK125" s="51">
        <f>W125/2</f>
        <v>0</v>
      </c>
      <c r="AL125" s="51">
        <f>X125/2</f>
        <v>0</v>
      </c>
      <c r="AM125" s="51"/>
      <c r="AN125" s="51"/>
      <c r="AO125" s="51"/>
      <c r="AP125" s="51"/>
      <c r="AQ125" s="51"/>
      <c r="AR125" s="51"/>
      <c r="AS125" s="51"/>
      <c r="AT125" s="51"/>
      <c r="AU125" s="51"/>
      <c r="AV125" s="51"/>
      <c r="AW125" s="51"/>
      <c r="AX125" s="51"/>
      <c r="AY125" s="51"/>
      <c r="AZ125" s="51"/>
      <c r="BA125" s="51"/>
      <c r="BB125" s="51"/>
      <c r="BC125" s="60">
        <v>1950000</v>
      </c>
      <c r="BD125" s="65"/>
      <c r="BE125" s="65"/>
      <c r="BF125" s="65"/>
      <c r="BG125" s="65"/>
      <c r="BH125" s="51"/>
      <c r="BI125" s="51"/>
      <c r="BJ125" s="51"/>
      <c r="BK125" s="51"/>
      <c r="BL125" s="51"/>
      <c r="BM125" s="51"/>
      <c r="BN125" s="51"/>
      <c r="BO125" s="51"/>
      <c r="BP125" s="44">
        <f t="shared" si="30"/>
        <v>0</v>
      </c>
      <c r="BQ125" s="44">
        <f t="shared" si="31"/>
        <v>0</v>
      </c>
      <c r="BR125" s="44">
        <f t="shared" si="32"/>
        <v>0</v>
      </c>
      <c r="BS125" s="44">
        <f t="shared" si="33"/>
        <v>0</v>
      </c>
    </row>
    <row r="126" spans="1:72" s="50" customFormat="1" ht="96" customHeight="1" x14ac:dyDescent="0.25">
      <c r="A126" s="36" t="s">
        <v>858</v>
      </c>
      <c r="B126" s="32" t="s">
        <v>981</v>
      </c>
      <c r="C126" s="32" t="s">
        <v>982</v>
      </c>
      <c r="D126" s="30" t="str">
        <f t="shared" si="28"/>
        <v>1.11-5.5</v>
      </c>
      <c r="E126" s="32" t="s">
        <v>1003</v>
      </c>
      <c r="F126" s="30" t="s">
        <v>984</v>
      </c>
      <c r="G126" s="49" t="s">
        <v>498</v>
      </c>
      <c r="H126" s="49" t="s">
        <v>667</v>
      </c>
      <c r="I126" s="71">
        <v>45992</v>
      </c>
      <c r="J126" s="58">
        <v>46265</v>
      </c>
      <c r="K126" s="42" t="s">
        <v>1004</v>
      </c>
      <c r="L126" s="62" t="s">
        <v>986</v>
      </c>
      <c r="M126" s="32" t="s">
        <v>987</v>
      </c>
      <c r="N126" s="32" t="s">
        <v>988</v>
      </c>
      <c r="O126" s="41" t="s">
        <v>1005</v>
      </c>
      <c r="P126" s="41" t="s">
        <v>994</v>
      </c>
      <c r="Q126" s="74" t="s">
        <v>363</v>
      </c>
      <c r="R126" s="74" t="s">
        <v>363</v>
      </c>
      <c r="S126" s="74" t="s">
        <v>376</v>
      </c>
      <c r="T126" s="55">
        <v>0</v>
      </c>
      <c r="U126" s="55">
        <v>0</v>
      </c>
      <c r="V126" s="55">
        <v>0</v>
      </c>
      <c r="W126" s="55">
        <v>0</v>
      </c>
      <c r="X126" s="55">
        <v>0</v>
      </c>
      <c r="Y126" s="55">
        <v>0</v>
      </c>
      <c r="Z126" s="28">
        <f t="shared" si="29"/>
        <v>0</v>
      </c>
      <c r="AA126" s="51"/>
      <c r="AB126" s="51"/>
      <c r="AC126" s="51"/>
      <c r="AD126" s="51"/>
      <c r="AE126" s="51"/>
      <c r="AF126" s="51"/>
      <c r="AG126" s="51">
        <v>0</v>
      </c>
      <c r="AH126" s="65">
        <v>30000</v>
      </c>
      <c r="AI126" s="65">
        <v>100000</v>
      </c>
      <c r="AJ126" s="51"/>
      <c r="AK126" s="51"/>
      <c r="AL126" s="51"/>
      <c r="AM126" s="65">
        <v>0</v>
      </c>
      <c r="AN126" s="65">
        <v>20000</v>
      </c>
      <c r="AO126" s="65">
        <v>100000</v>
      </c>
      <c r="AP126" s="51"/>
      <c r="AQ126" s="51"/>
      <c r="AR126" s="51"/>
      <c r="AS126" s="65"/>
      <c r="AT126" s="65"/>
      <c r="AU126" s="65"/>
      <c r="AV126" s="51"/>
      <c r="AW126" s="51"/>
      <c r="AX126" s="51"/>
      <c r="AY126" s="51"/>
      <c r="AZ126" s="65"/>
      <c r="BA126" s="65"/>
      <c r="BB126" s="65"/>
      <c r="BC126" s="65"/>
      <c r="BD126" s="51"/>
      <c r="BE126" s="51"/>
      <c r="BF126" s="51"/>
      <c r="BG126" s="51"/>
      <c r="BH126" s="65"/>
      <c r="BI126" s="65"/>
      <c r="BJ126" s="65"/>
      <c r="BK126" s="65"/>
      <c r="BL126" s="51"/>
      <c r="BM126" s="51"/>
      <c r="BN126" s="51"/>
      <c r="BO126" s="51"/>
      <c r="BP126" s="44">
        <f t="shared" si="30"/>
        <v>0</v>
      </c>
      <c r="BQ126" s="44">
        <f t="shared" si="31"/>
        <v>0</v>
      </c>
      <c r="BR126" s="44">
        <f t="shared" si="32"/>
        <v>-50000</v>
      </c>
      <c r="BS126" s="44">
        <f t="shared" si="33"/>
        <v>-200000</v>
      </c>
    </row>
    <row r="127" spans="1:72" s="50" customFormat="1" ht="96" customHeight="1" x14ac:dyDescent="0.25">
      <c r="A127" s="36" t="s">
        <v>858</v>
      </c>
      <c r="B127" s="32" t="s">
        <v>981</v>
      </c>
      <c r="C127" s="32" t="s">
        <v>982</v>
      </c>
      <c r="D127" s="30" t="str">
        <f t="shared" si="28"/>
        <v>1.11-5.6</v>
      </c>
      <c r="E127" s="32" t="s">
        <v>1006</v>
      </c>
      <c r="F127" s="30" t="s">
        <v>984</v>
      </c>
      <c r="G127" s="49" t="s">
        <v>498</v>
      </c>
      <c r="H127" s="49" t="s">
        <v>667</v>
      </c>
      <c r="I127" s="71">
        <v>46023</v>
      </c>
      <c r="J127" s="58">
        <v>46295</v>
      </c>
      <c r="K127" s="42" t="s">
        <v>1007</v>
      </c>
      <c r="L127" s="62" t="s">
        <v>986</v>
      </c>
      <c r="M127" s="32" t="s">
        <v>987</v>
      </c>
      <c r="N127" s="32" t="s">
        <v>988</v>
      </c>
      <c r="O127" s="41" t="s">
        <v>1008</v>
      </c>
      <c r="P127" s="41" t="s">
        <v>994</v>
      </c>
      <c r="Q127" s="74" t="s">
        <v>363</v>
      </c>
      <c r="R127" s="74" t="s">
        <v>363</v>
      </c>
      <c r="S127" s="74" t="s">
        <v>376</v>
      </c>
      <c r="T127" s="55">
        <v>0</v>
      </c>
      <c r="U127" s="55">
        <v>0</v>
      </c>
      <c r="V127" s="55">
        <v>0</v>
      </c>
      <c r="W127" s="55">
        <v>0</v>
      </c>
      <c r="X127" s="55"/>
      <c r="Y127" s="55">
        <v>0</v>
      </c>
      <c r="Z127" s="28">
        <f t="shared" si="29"/>
        <v>0</v>
      </c>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44">
        <f t="shared" si="30"/>
        <v>0</v>
      </c>
      <c r="BQ127" s="44">
        <f t="shared" si="31"/>
        <v>0</v>
      </c>
      <c r="BR127" s="44">
        <f t="shared" si="32"/>
        <v>0</v>
      </c>
      <c r="BS127" s="44">
        <f t="shared" si="33"/>
        <v>0</v>
      </c>
    </row>
    <row r="128" spans="1:72" s="50" customFormat="1" ht="96" customHeight="1" x14ac:dyDescent="0.25">
      <c r="A128" s="36" t="s">
        <v>858</v>
      </c>
      <c r="B128" s="32" t="s">
        <v>981</v>
      </c>
      <c r="C128" s="32" t="s">
        <v>982</v>
      </c>
      <c r="D128" s="30" t="str">
        <f t="shared" si="28"/>
        <v>1.11-5.7</v>
      </c>
      <c r="E128" s="32" t="s">
        <v>1009</v>
      </c>
      <c r="F128" s="30" t="s">
        <v>984</v>
      </c>
      <c r="G128" s="49" t="s">
        <v>498</v>
      </c>
      <c r="H128" s="49" t="s">
        <v>667</v>
      </c>
      <c r="I128" s="71">
        <v>46143</v>
      </c>
      <c r="J128" s="58">
        <v>46233</v>
      </c>
      <c r="K128" s="38" t="s">
        <v>1010</v>
      </c>
      <c r="L128" s="38" t="s">
        <v>986</v>
      </c>
      <c r="M128" s="32" t="s">
        <v>987</v>
      </c>
      <c r="N128" s="32" t="s">
        <v>988</v>
      </c>
      <c r="O128" s="30" t="s">
        <v>1011</v>
      </c>
      <c r="P128" s="30" t="s">
        <v>994</v>
      </c>
      <c r="Q128" s="74" t="s">
        <v>363</v>
      </c>
      <c r="R128" s="74" t="s">
        <v>363</v>
      </c>
      <c r="S128" s="74" t="s">
        <v>376</v>
      </c>
      <c r="T128" s="55"/>
      <c r="U128" s="55"/>
      <c r="V128" s="55">
        <v>0</v>
      </c>
      <c r="W128" s="55"/>
      <c r="X128" s="55"/>
      <c r="Y128" s="55">
        <v>0</v>
      </c>
      <c r="Z128" s="28">
        <f t="shared" si="29"/>
        <v>0</v>
      </c>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44"/>
      <c r="BQ128" s="44"/>
      <c r="BR128" s="44"/>
      <c r="BS128" s="44"/>
    </row>
    <row r="129" spans="1:71" s="50" customFormat="1" ht="86.85" customHeight="1" x14ac:dyDescent="0.25">
      <c r="A129" s="36" t="s">
        <v>858</v>
      </c>
      <c r="B129" s="42" t="s">
        <v>1012</v>
      </c>
      <c r="C129" s="32" t="s">
        <v>1013</v>
      </c>
      <c r="D129" s="30" t="str">
        <f t="shared" si="28"/>
        <v>1.11-6.1</v>
      </c>
      <c r="E129" s="32" t="s">
        <v>1014</v>
      </c>
      <c r="F129" s="30" t="s">
        <v>984</v>
      </c>
      <c r="G129" s="49" t="s">
        <v>498</v>
      </c>
      <c r="H129" s="49" t="s">
        <v>667</v>
      </c>
      <c r="I129" s="71">
        <v>45992</v>
      </c>
      <c r="J129" s="58">
        <v>46280</v>
      </c>
      <c r="K129" s="42" t="s">
        <v>1015</v>
      </c>
      <c r="L129" s="62" t="s">
        <v>1016</v>
      </c>
      <c r="M129" s="32" t="s">
        <v>1017</v>
      </c>
      <c r="N129" s="32" t="s">
        <v>1018</v>
      </c>
      <c r="O129" s="41" t="s">
        <v>1019</v>
      </c>
      <c r="P129" s="41" t="s">
        <v>1020</v>
      </c>
      <c r="Q129" s="74" t="s">
        <v>363</v>
      </c>
      <c r="R129" s="93" t="s">
        <v>415</v>
      </c>
      <c r="S129" s="74" t="s">
        <v>1021</v>
      </c>
      <c r="T129" s="55">
        <v>1418283</v>
      </c>
      <c r="U129" s="55">
        <v>1621893</v>
      </c>
      <c r="V129" s="55">
        <v>3040176</v>
      </c>
      <c r="W129" s="55">
        <v>0</v>
      </c>
      <c r="X129" s="55">
        <v>501717</v>
      </c>
      <c r="Y129" s="55">
        <v>0</v>
      </c>
      <c r="Z129" s="28">
        <f t="shared" si="29"/>
        <v>6582069</v>
      </c>
      <c r="AA129" s="51"/>
      <c r="AB129" s="51"/>
      <c r="AC129" s="51"/>
      <c r="AD129" s="51"/>
      <c r="AE129" s="51"/>
      <c r="AF129" s="51"/>
      <c r="AG129" s="51"/>
      <c r="AH129" s="51"/>
      <c r="AI129" s="51"/>
      <c r="AJ129" s="51"/>
      <c r="AK129" s="51"/>
      <c r="AL129" s="51"/>
      <c r="AM129" s="65">
        <v>960000</v>
      </c>
      <c r="AN129" s="65">
        <v>0</v>
      </c>
      <c r="AO129" s="65">
        <v>0</v>
      </c>
      <c r="AP129" s="51">
        <f>1418283-960000</f>
        <v>458283</v>
      </c>
      <c r="AQ129" s="51"/>
      <c r="AR129" s="51"/>
      <c r="AS129" s="51"/>
      <c r="AT129" s="51"/>
      <c r="AU129" s="51"/>
      <c r="AV129" s="51"/>
      <c r="AW129" s="51"/>
      <c r="AX129" s="51"/>
      <c r="AY129" s="51"/>
      <c r="AZ129" s="65"/>
      <c r="BA129" s="65"/>
      <c r="BB129" s="65"/>
      <c r="BC129" s="65"/>
      <c r="BD129" s="51"/>
      <c r="BE129" s="51"/>
      <c r="BF129" s="51"/>
      <c r="BG129" s="51"/>
      <c r="BH129" s="51"/>
      <c r="BI129" s="51"/>
      <c r="BJ129" s="51"/>
      <c r="BK129" s="51"/>
      <c r="BL129" s="60">
        <v>1341893</v>
      </c>
      <c r="BM129" s="51"/>
      <c r="BN129" s="125">
        <v>501717</v>
      </c>
      <c r="BO129" s="51"/>
      <c r="BP129" s="44">
        <f t="shared" ref="BP129:BP137" si="34">T129-SUM(AA129,AD129,AG129,AJ129,AM129,AP129)</f>
        <v>0</v>
      </c>
      <c r="BQ129" s="44">
        <f t="shared" ref="BQ129:BQ137" si="35">U129-SUM(AS129,AV129,AZ129,BD129,BH129,BL129)</f>
        <v>280000</v>
      </c>
      <c r="BR129" s="44">
        <f t="shared" ref="BR129:BR137" si="36">W129-SUM(AB129,AE129,AH129,AK129,AN129,AQ129,AT129,AW129,BA129,BE129,BI129,BM129)</f>
        <v>0</v>
      </c>
      <c r="BS129" s="44">
        <f t="shared" ref="BS129:BS137" si="37">X129-SUM(AC129,AF129,AI129,AL129,AO129,AR129,AU129,AX129,BB129,BF129,BJ129,BN129)</f>
        <v>0</v>
      </c>
    </row>
    <row r="130" spans="1:71" s="50" customFormat="1" ht="86.85" customHeight="1" x14ac:dyDescent="0.25">
      <c r="A130" s="36" t="s">
        <v>858</v>
      </c>
      <c r="B130" s="42" t="s">
        <v>1012</v>
      </c>
      <c r="C130" s="32" t="s">
        <v>1013</v>
      </c>
      <c r="D130" s="30" t="str">
        <f t="shared" si="28"/>
        <v>1.11-6.2</v>
      </c>
      <c r="E130" s="32" t="s">
        <v>1022</v>
      </c>
      <c r="F130" s="30" t="s">
        <v>984</v>
      </c>
      <c r="G130" s="49" t="s">
        <v>498</v>
      </c>
      <c r="H130" s="49" t="s">
        <v>667</v>
      </c>
      <c r="I130" s="71">
        <v>45962</v>
      </c>
      <c r="J130" s="58">
        <v>46234</v>
      </c>
      <c r="K130" s="42" t="s">
        <v>1023</v>
      </c>
      <c r="L130" s="62" t="s">
        <v>1016</v>
      </c>
      <c r="M130" s="32" t="s">
        <v>1017</v>
      </c>
      <c r="N130" s="32" t="s">
        <v>1018</v>
      </c>
      <c r="O130" s="41" t="s">
        <v>1024</v>
      </c>
      <c r="P130" s="41" t="s">
        <v>1020</v>
      </c>
      <c r="Q130" s="74" t="s">
        <v>363</v>
      </c>
      <c r="R130" s="74" t="s">
        <v>363</v>
      </c>
      <c r="S130" s="74" t="s">
        <v>376</v>
      </c>
      <c r="T130" s="55">
        <v>0</v>
      </c>
      <c r="U130" s="55">
        <v>0</v>
      </c>
      <c r="V130" s="55">
        <v>0</v>
      </c>
      <c r="W130" s="55">
        <v>0</v>
      </c>
      <c r="X130" s="55"/>
      <c r="Y130" s="55">
        <v>0</v>
      </c>
      <c r="Z130" s="28">
        <f t="shared" si="29"/>
        <v>0</v>
      </c>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44">
        <f t="shared" si="34"/>
        <v>0</v>
      </c>
      <c r="BQ130" s="44">
        <f t="shared" si="35"/>
        <v>0</v>
      </c>
      <c r="BR130" s="44">
        <f t="shared" si="36"/>
        <v>0</v>
      </c>
      <c r="BS130" s="44">
        <f t="shared" si="37"/>
        <v>0</v>
      </c>
    </row>
    <row r="131" spans="1:71" s="50" customFormat="1" ht="86.85" customHeight="1" x14ac:dyDescent="0.25">
      <c r="A131" s="36" t="s">
        <v>858</v>
      </c>
      <c r="B131" s="42" t="s">
        <v>1012</v>
      </c>
      <c r="C131" s="32" t="s">
        <v>1013</v>
      </c>
      <c r="D131" s="30" t="str">
        <f t="shared" ref="D131:D141" si="38">TRIM(_xlfn.TEXTBEFORE(E131,":"))</f>
        <v>1.11-6.3</v>
      </c>
      <c r="E131" s="32" t="s">
        <v>1025</v>
      </c>
      <c r="F131" s="30" t="s">
        <v>984</v>
      </c>
      <c r="G131" s="49" t="s">
        <v>498</v>
      </c>
      <c r="H131" s="49" t="s">
        <v>667</v>
      </c>
      <c r="I131" s="71">
        <v>45992</v>
      </c>
      <c r="J131" s="58">
        <v>46265</v>
      </c>
      <c r="K131" s="42" t="s">
        <v>1023</v>
      </c>
      <c r="L131" s="62" t="s">
        <v>1016</v>
      </c>
      <c r="M131" s="32" t="s">
        <v>1017</v>
      </c>
      <c r="N131" s="32" t="s">
        <v>1018</v>
      </c>
      <c r="O131" s="41" t="s">
        <v>1026</v>
      </c>
      <c r="P131" s="41" t="s">
        <v>1020</v>
      </c>
      <c r="Q131" s="74" t="s">
        <v>363</v>
      </c>
      <c r="R131" s="74" t="s">
        <v>363</v>
      </c>
      <c r="S131" s="74" t="s">
        <v>376</v>
      </c>
      <c r="T131" s="55"/>
      <c r="U131" s="55"/>
      <c r="V131" s="55">
        <v>0</v>
      </c>
      <c r="W131" s="55"/>
      <c r="X131" s="55"/>
      <c r="Y131" s="55">
        <v>0</v>
      </c>
      <c r="Z131" s="28">
        <f t="shared" ref="Z131:Z141" si="39">SUM(T131:Y131)</f>
        <v>0</v>
      </c>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44">
        <f t="shared" si="34"/>
        <v>0</v>
      </c>
      <c r="BQ131" s="44">
        <f t="shared" si="35"/>
        <v>0</v>
      </c>
      <c r="BR131" s="44">
        <f t="shared" si="36"/>
        <v>0</v>
      </c>
      <c r="BS131" s="44">
        <f t="shared" si="37"/>
        <v>0</v>
      </c>
    </row>
    <row r="132" spans="1:71" s="50" customFormat="1" ht="86.85" customHeight="1" x14ac:dyDescent="0.25">
      <c r="A132" s="36" t="s">
        <v>858</v>
      </c>
      <c r="B132" s="42" t="s">
        <v>1012</v>
      </c>
      <c r="C132" s="32" t="s">
        <v>1013</v>
      </c>
      <c r="D132" s="30" t="str">
        <f t="shared" si="38"/>
        <v>1.11-6.4</v>
      </c>
      <c r="E132" s="32" t="s">
        <v>1027</v>
      </c>
      <c r="F132" s="30" t="s">
        <v>984</v>
      </c>
      <c r="G132" s="49" t="s">
        <v>498</v>
      </c>
      <c r="H132" s="49" t="s">
        <v>667</v>
      </c>
      <c r="I132" s="71">
        <v>45931</v>
      </c>
      <c r="J132" s="58" t="s">
        <v>492</v>
      </c>
      <c r="K132" s="42" t="s">
        <v>1028</v>
      </c>
      <c r="L132" s="62" t="s">
        <v>1016</v>
      </c>
      <c r="M132" s="32" t="s">
        <v>1017</v>
      </c>
      <c r="N132" s="32" t="s">
        <v>1018</v>
      </c>
      <c r="O132" s="41" t="s">
        <v>1029</v>
      </c>
      <c r="P132" s="41" t="s">
        <v>1020</v>
      </c>
      <c r="Q132" s="74" t="s">
        <v>363</v>
      </c>
      <c r="R132" s="74" t="s">
        <v>363</v>
      </c>
      <c r="S132" s="74" t="s">
        <v>376</v>
      </c>
      <c r="T132" s="55">
        <v>0</v>
      </c>
      <c r="U132" s="55"/>
      <c r="V132" s="55">
        <v>0</v>
      </c>
      <c r="W132" s="55"/>
      <c r="X132" s="55"/>
      <c r="Y132" s="55">
        <v>0</v>
      </c>
      <c r="Z132" s="28">
        <f t="shared" si="39"/>
        <v>0</v>
      </c>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44">
        <f t="shared" si="34"/>
        <v>0</v>
      </c>
      <c r="BQ132" s="44">
        <f t="shared" si="35"/>
        <v>0</v>
      </c>
      <c r="BR132" s="44">
        <f t="shared" si="36"/>
        <v>0</v>
      </c>
      <c r="BS132" s="44">
        <f t="shared" si="37"/>
        <v>0</v>
      </c>
    </row>
    <row r="133" spans="1:71" s="50" customFormat="1" ht="86.85" customHeight="1" x14ac:dyDescent="0.25">
      <c r="A133" s="36" t="s">
        <v>858</v>
      </c>
      <c r="B133" s="42" t="s">
        <v>1012</v>
      </c>
      <c r="C133" s="32" t="s">
        <v>1013</v>
      </c>
      <c r="D133" s="30" t="str">
        <f t="shared" si="38"/>
        <v>1.11-6.5</v>
      </c>
      <c r="E133" s="32" t="s">
        <v>1030</v>
      </c>
      <c r="F133" s="30" t="s">
        <v>984</v>
      </c>
      <c r="G133" s="49" t="s">
        <v>498</v>
      </c>
      <c r="H133" s="49" t="s">
        <v>667</v>
      </c>
      <c r="I133" s="71">
        <v>45931</v>
      </c>
      <c r="J133" s="58" t="s">
        <v>492</v>
      </c>
      <c r="K133" s="42" t="s">
        <v>1031</v>
      </c>
      <c r="L133" s="62" t="s">
        <v>1016</v>
      </c>
      <c r="M133" s="32" t="s">
        <v>1017</v>
      </c>
      <c r="N133" s="32" t="s">
        <v>1018</v>
      </c>
      <c r="O133" s="41" t="s">
        <v>1032</v>
      </c>
      <c r="P133" s="41" t="s">
        <v>1020</v>
      </c>
      <c r="Q133" s="74" t="s">
        <v>516</v>
      </c>
      <c r="R133" s="74" t="s">
        <v>516</v>
      </c>
      <c r="S133" s="74" t="s">
        <v>376</v>
      </c>
      <c r="T133" s="55">
        <v>0</v>
      </c>
      <c r="U133" s="55"/>
      <c r="V133" s="55">
        <v>0</v>
      </c>
      <c r="W133" s="55">
        <v>0</v>
      </c>
      <c r="X133" s="55"/>
      <c r="Y133" s="55">
        <v>0</v>
      </c>
      <c r="Z133" s="28">
        <f t="shared" si="39"/>
        <v>0</v>
      </c>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44">
        <f t="shared" si="34"/>
        <v>0</v>
      </c>
      <c r="BQ133" s="44">
        <f t="shared" si="35"/>
        <v>0</v>
      </c>
      <c r="BR133" s="44">
        <f t="shared" si="36"/>
        <v>0</v>
      </c>
      <c r="BS133" s="44">
        <f t="shared" si="37"/>
        <v>0</v>
      </c>
    </row>
    <row r="134" spans="1:71" s="50" customFormat="1" ht="86.85" customHeight="1" x14ac:dyDescent="0.25">
      <c r="A134" s="36" t="s">
        <v>858</v>
      </c>
      <c r="B134" s="42" t="s">
        <v>1012</v>
      </c>
      <c r="C134" s="32" t="s">
        <v>1013</v>
      </c>
      <c r="D134" s="30" t="str">
        <f t="shared" si="38"/>
        <v>1.11-6.6</v>
      </c>
      <c r="E134" s="32" t="s">
        <v>1033</v>
      </c>
      <c r="F134" s="30" t="s">
        <v>984</v>
      </c>
      <c r="G134" s="49" t="s">
        <v>498</v>
      </c>
      <c r="H134" s="49" t="s">
        <v>667</v>
      </c>
      <c r="I134" s="71">
        <v>45962</v>
      </c>
      <c r="J134" s="58" t="s">
        <v>1034</v>
      </c>
      <c r="K134" s="42" t="s">
        <v>1031</v>
      </c>
      <c r="L134" s="62" t="s">
        <v>1016</v>
      </c>
      <c r="M134" s="32" t="s">
        <v>1017</v>
      </c>
      <c r="N134" s="32" t="s">
        <v>1018</v>
      </c>
      <c r="O134" s="41" t="s">
        <v>1035</v>
      </c>
      <c r="P134" s="41" t="s">
        <v>1020</v>
      </c>
      <c r="Q134" s="74" t="s">
        <v>516</v>
      </c>
      <c r="R134" s="74" t="s">
        <v>516</v>
      </c>
      <c r="S134" s="74" t="s">
        <v>1036</v>
      </c>
      <c r="T134" s="55">
        <v>300000</v>
      </c>
      <c r="U134" s="55"/>
      <c r="V134" s="55">
        <v>300000</v>
      </c>
      <c r="W134" s="55">
        <v>0</v>
      </c>
      <c r="X134" s="55">
        <v>601000</v>
      </c>
      <c r="Y134" s="55">
        <v>0</v>
      </c>
      <c r="Z134" s="28">
        <f t="shared" si="39"/>
        <v>1201000</v>
      </c>
      <c r="AA134" s="51"/>
      <c r="AB134" s="51"/>
      <c r="AC134" s="51"/>
      <c r="AD134" s="65">
        <v>100000</v>
      </c>
      <c r="AE134" s="65">
        <v>0</v>
      </c>
      <c r="AF134" s="65">
        <v>0</v>
      </c>
      <c r="AG134" s="65">
        <v>100000</v>
      </c>
      <c r="AH134" s="65">
        <v>0</v>
      </c>
      <c r="AI134" s="65">
        <v>0</v>
      </c>
      <c r="AJ134" s="65">
        <v>100000</v>
      </c>
      <c r="AK134" s="65">
        <v>0</v>
      </c>
      <c r="AL134" s="65">
        <v>0</v>
      </c>
      <c r="AM134" s="65">
        <v>0</v>
      </c>
      <c r="AN134" s="65">
        <v>0</v>
      </c>
      <c r="AO134" s="65">
        <v>100000</v>
      </c>
      <c r="AP134" s="65">
        <v>0</v>
      </c>
      <c r="AQ134" s="65">
        <v>0</v>
      </c>
      <c r="AR134" s="65">
        <v>100000</v>
      </c>
      <c r="AS134" s="65"/>
      <c r="AT134" s="65"/>
      <c r="AU134" s="65"/>
      <c r="AV134" s="65"/>
      <c r="AW134" s="65"/>
      <c r="AX134" s="65"/>
      <c r="AY134" s="65"/>
      <c r="AZ134" s="65"/>
      <c r="BA134" s="65"/>
      <c r="BB134" s="60">
        <v>125000</v>
      </c>
      <c r="BC134" s="65"/>
      <c r="BD134" s="65"/>
      <c r="BE134" s="65"/>
      <c r="BF134" s="60">
        <v>125000</v>
      </c>
      <c r="BG134" s="65"/>
      <c r="BH134" s="65"/>
      <c r="BI134" s="65"/>
      <c r="BJ134" s="60">
        <v>125000</v>
      </c>
      <c r="BK134" s="65"/>
      <c r="BL134" s="65"/>
      <c r="BM134" s="65"/>
      <c r="BN134" s="60">
        <v>125000</v>
      </c>
      <c r="BO134" s="65"/>
      <c r="BP134" s="44">
        <f t="shared" si="34"/>
        <v>0</v>
      </c>
      <c r="BQ134" s="44">
        <f t="shared" si="35"/>
        <v>0</v>
      </c>
      <c r="BR134" s="44">
        <f t="shared" si="36"/>
        <v>0</v>
      </c>
      <c r="BS134" s="44">
        <f t="shared" si="37"/>
        <v>-99000</v>
      </c>
    </row>
    <row r="135" spans="1:71" s="50" customFormat="1" ht="86.85" customHeight="1" x14ac:dyDescent="0.25">
      <c r="A135" s="36" t="s">
        <v>858</v>
      </c>
      <c r="B135" s="42" t="s">
        <v>1012</v>
      </c>
      <c r="C135" s="32" t="s">
        <v>1013</v>
      </c>
      <c r="D135" s="30" t="str">
        <f t="shared" si="38"/>
        <v>1.11-6.7</v>
      </c>
      <c r="E135" s="32" t="s">
        <v>1037</v>
      </c>
      <c r="F135" s="30" t="s">
        <v>984</v>
      </c>
      <c r="G135" s="49" t="s">
        <v>498</v>
      </c>
      <c r="H135" s="49" t="s">
        <v>667</v>
      </c>
      <c r="I135" s="71">
        <v>45931</v>
      </c>
      <c r="J135" s="58">
        <v>46264</v>
      </c>
      <c r="K135" s="42" t="s">
        <v>1038</v>
      </c>
      <c r="L135" s="62" t="s">
        <v>1016</v>
      </c>
      <c r="M135" s="32" t="s">
        <v>1017</v>
      </c>
      <c r="N135" s="32" t="s">
        <v>1018</v>
      </c>
      <c r="O135" s="41" t="s">
        <v>1039</v>
      </c>
      <c r="P135" s="41" t="s">
        <v>1020</v>
      </c>
      <c r="Q135" s="74" t="s">
        <v>516</v>
      </c>
      <c r="R135" s="74" t="s">
        <v>516</v>
      </c>
      <c r="S135" s="74" t="s">
        <v>1040</v>
      </c>
      <c r="T135" s="55">
        <v>0</v>
      </c>
      <c r="U135" s="55">
        <v>0</v>
      </c>
      <c r="V135" s="55">
        <v>0</v>
      </c>
      <c r="W135" s="55">
        <v>6211668</v>
      </c>
      <c r="X135" s="55">
        <v>17165423</v>
      </c>
      <c r="Y135" s="55">
        <v>6500000</v>
      </c>
      <c r="Z135" s="28">
        <f t="shared" si="39"/>
        <v>29877091</v>
      </c>
      <c r="AA135" s="51"/>
      <c r="AB135" s="51"/>
      <c r="AC135" s="51"/>
      <c r="AD135" s="51"/>
      <c r="AE135" s="51"/>
      <c r="AF135" s="51"/>
      <c r="AG135" s="51"/>
      <c r="AH135" s="51"/>
      <c r="AI135" s="51"/>
      <c r="AJ135" s="51"/>
      <c r="AK135" s="51"/>
      <c r="AL135" s="51"/>
      <c r="AM135" s="51"/>
      <c r="AN135" s="51"/>
      <c r="AO135" s="51"/>
      <c r="AP135" s="51"/>
      <c r="AQ135" s="51"/>
      <c r="AR135" s="51"/>
      <c r="AS135" s="65"/>
      <c r="AT135" s="119"/>
      <c r="AU135" s="119"/>
      <c r="AV135" s="51"/>
      <c r="AW135" s="51"/>
      <c r="AX135" s="51"/>
      <c r="AY135" s="51"/>
      <c r="AZ135" s="51"/>
      <c r="BA135" s="60">
        <v>6211668</v>
      </c>
      <c r="BB135" s="51"/>
      <c r="BC135" s="51"/>
      <c r="BD135" s="51"/>
      <c r="BE135" s="51"/>
      <c r="BF135" s="37">
        <v>12035423</v>
      </c>
      <c r="BG135" s="51"/>
      <c r="BH135" s="51"/>
      <c r="BI135" s="51"/>
      <c r="BJ135" s="51"/>
      <c r="BK135" s="60">
        <v>6500000</v>
      </c>
      <c r="BL135" s="51"/>
      <c r="BM135" s="51"/>
      <c r="BN135" s="51"/>
      <c r="BO135" s="51"/>
      <c r="BP135" s="44">
        <f t="shared" si="34"/>
        <v>0</v>
      </c>
      <c r="BQ135" s="44">
        <f t="shared" si="35"/>
        <v>0</v>
      </c>
      <c r="BR135" s="44">
        <f t="shared" si="36"/>
        <v>0</v>
      </c>
      <c r="BS135" s="44">
        <f t="shared" si="37"/>
        <v>5130000</v>
      </c>
    </row>
    <row r="136" spans="1:71" s="50" customFormat="1" ht="86.85" customHeight="1" x14ac:dyDescent="0.25">
      <c r="A136" s="36" t="s">
        <v>858</v>
      </c>
      <c r="B136" s="42" t="s">
        <v>1012</v>
      </c>
      <c r="C136" s="32" t="s">
        <v>1013</v>
      </c>
      <c r="D136" s="30" t="str">
        <f t="shared" si="38"/>
        <v>1.11-6.8</v>
      </c>
      <c r="E136" s="32" t="s">
        <v>1041</v>
      </c>
      <c r="F136" s="30" t="s">
        <v>984</v>
      </c>
      <c r="G136" s="49" t="s">
        <v>498</v>
      </c>
      <c r="H136" s="49" t="s">
        <v>667</v>
      </c>
      <c r="I136" s="71">
        <v>45962</v>
      </c>
      <c r="J136" s="58">
        <v>46203</v>
      </c>
      <c r="K136" s="42" t="s">
        <v>1038</v>
      </c>
      <c r="L136" s="62" t="s">
        <v>1016</v>
      </c>
      <c r="M136" s="32" t="s">
        <v>1017</v>
      </c>
      <c r="N136" s="32" t="s">
        <v>1018</v>
      </c>
      <c r="O136" s="41" t="s">
        <v>1042</v>
      </c>
      <c r="P136" s="41" t="s">
        <v>1020</v>
      </c>
      <c r="Q136" s="74" t="s">
        <v>516</v>
      </c>
      <c r="R136" s="74" t="s">
        <v>516</v>
      </c>
      <c r="S136" s="74" t="s">
        <v>1043</v>
      </c>
      <c r="T136" s="55">
        <v>0</v>
      </c>
      <c r="U136" s="55">
        <v>0</v>
      </c>
      <c r="V136" s="55">
        <v>0</v>
      </c>
      <c r="W136" s="55">
        <v>160000</v>
      </c>
      <c r="X136" s="55">
        <v>251717</v>
      </c>
      <c r="Y136" s="55">
        <v>80000</v>
      </c>
      <c r="Z136" s="28">
        <f t="shared" si="39"/>
        <v>491717</v>
      </c>
      <c r="AA136" s="51"/>
      <c r="AB136" s="51"/>
      <c r="AC136" s="51"/>
      <c r="AD136" s="51"/>
      <c r="AE136" s="65"/>
      <c r="AF136" s="65"/>
      <c r="AG136" s="65"/>
      <c r="AH136" s="65"/>
      <c r="AI136" s="65"/>
      <c r="AJ136" s="65"/>
      <c r="AK136" s="65"/>
      <c r="AL136" s="65"/>
      <c r="AM136" s="65"/>
      <c r="AN136" s="65">
        <v>160000</v>
      </c>
      <c r="AO136" s="65">
        <v>251717</v>
      </c>
      <c r="AP136" s="51"/>
      <c r="AQ136" s="51"/>
      <c r="AR136" s="51"/>
      <c r="AS136" s="65"/>
      <c r="AT136" s="51"/>
      <c r="AU136" s="51"/>
      <c r="AV136" s="51"/>
      <c r="AW136" s="60">
        <v>160000</v>
      </c>
      <c r="AX136" s="60">
        <v>251717</v>
      </c>
      <c r="AY136" s="51"/>
      <c r="AZ136" s="51"/>
      <c r="BA136" s="51"/>
      <c r="BB136" s="51"/>
      <c r="BC136" s="60">
        <v>80000</v>
      </c>
      <c r="BD136" s="51"/>
      <c r="BE136" s="51"/>
      <c r="BF136" s="51"/>
      <c r="BG136" s="51"/>
      <c r="BH136" s="51"/>
      <c r="BI136" s="51"/>
      <c r="BJ136" s="51"/>
      <c r="BK136" s="51"/>
      <c r="BL136" s="51"/>
      <c r="BM136" s="51"/>
      <c r="BN136" s="51"/>
      <c r="BO136" s="51"/>
      <c r="BP136" s="44">
        <f t="shared" si="34"/>
        <v>0</v>
      </c>
      <c r="BQ136" s="44">
        <f t="shared" si="35"/>
        <v>0</v>
      </c>
      <c r="BR136" s="44">
        <f t="shared" si="36"/>
        <v>-160000</v>
      </c>
      <c r="BS136" s="44">
        <f t="shared" si="37"/>
        <v>-251717</v>
      </c>
    </row>
    <row r="137" spans="1:71" s="50" customFormat="1" ht="86.85" customHeight="1" x14ac:dyDescent="0.25">
      <c r="A137" s="36" t="s">
        <v>858</v>
      </c>
      <c r="B137" s="42" t="s">
        <v>1012</v>
      </c>
      <c r="C137" s="32" t="s">
        <v>1013</v>
      </c>
      <c r="D137" s="30" t="str">
        <f t="shared" si="38"/>
        <v>1.11-6.9</v>
      </c>
      <c r="E137" s="32" t="s">
        <v>1044</v>
      </c>
      <c r="F137" s="30" t="s">
        <v>984</v>
      </c>
      <c r="G137" s="49" t="s">
        <v>498</v>
      </c>
      <c r="H137" s="49" t="s">
        <v>1045</v>
      </c>
      <c r="I137" s="71">
        <v>45931</v>
      </c>
      <c r="J137" s="58">
        <v>46203</v>
      </c>
      <c r="K137" s="42" t="s">
        <v>1046</v>
      </c>
      <c r="L137" s="62" t="s">
        <v>1016</v>
      </c>
      <c r="M137" s="32" t="s">
        <v>1017</v>
      </c>
      <c r="N137" s="32" t="s">
        <v>1018</v>
      </c>
      <c r="O137" s="41" t="s">
        <v>1047</v>
      </c>
      <c r="P137" s="41" t="s">
        <v>1020</v>
      </c>
      <c r="Q137" s="74" t="s">
        <v>455</v>
      </c>
      <c r="R137" s="74" t="s">
        <v>456</v>
      </c>
      <c r="S137" s="74" t="s">
        <v>1048</v>
      </c>
      <c r="T137" s="55">
        <v>2118688</v>
      </c>
      <c r="U137" s="55"/>
      <c r="V137" s="55">
        <v>2118688</v>
      </c>
      <c r="W137" s="55"/>
      <c r="X137" s="55"/>
      <c r="Y137" s="55">
        <v>1368701</v>
      </c>
      <c r="Z137" s="28">
        <f t="shared" si="39"/>
        <v>5606077</v>
      </c>
      <c r="AA137" s="51"/>
      <c r="AB137" s="51"/>
      <c r="AC137" s="51"/>
      <c r="AD137" s="51"/>
      <c r="AE137" s="51"/>
      <c r="AF137" s="51"/>
      <c r="AG137" s="51"/>
      <c r="AH137" s="51"/>
      <c r="AI137" s="51"/>
      <c r="AJ137" s="51"/>
      <c r="AK137" s="51"/>
      <c r="AL137" s="51"/>
      <c r="AM137" s="51"/>
      <c r="AN137" s="51"/>
      <c r="AO137" s="51"/>
      <c r="AP137" s="65">
        <v>1700000</v>
      </c>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60">
        <v>1368701</v>
      </c>
      <c r="BP137" s="44">
        <f t="shared" si="34"/>
        <v>418688</v>
      </c>
      <c r="BQ137" s="44">
        <f t="shared" si="35"/>
        <v>0</v>
      </c>
      <c r="BR137" s="44">
        <f t="shared" si="36"/>
        <v>0</v>
      </c>
      <c r="BS137" s="44">
        <f t="shared" si="37"/>
        <v>0</v>
      </c>
    </row>
    <row r="138" spans="1:71" s="50" customFormat="1" ht="86.85" customHeight="1" x14ac:dyDescent="0.25">
      <c r="A138" s="36" t="s">
        <v>858</v>
      </c>
      <c r="B138" s="42" t="s">
        <v>1012</v>
      </c>
      <c r="C138" s="32" t="s">
        <v>1013</v>
      </c>
      <c r="D138" s="30" t="str">
        <f t="shared" si="38"/>
        <v>1.11-6.10</v>
      </c>
      <c r="E138" s="32" t="s">
        <v>1049</v>
      </c>
      <c r="F138" s="30" t="s">
        <v>984</v>
      </c>
      <c r="G138" s="49" t="s">
        <v>498</v>
      </c>
      <c r="H138" s="49" t="s">
        <v>1045</v>
      </c>
      <c r="I138" s="71">
        <v>46143</v>
      </c>
      <c r="J138" s="58">
        <v>46264</v>
      </c>
      <c r="K138" s="42" t="s">
        <v>1050</v>
      </c>
      <c r="L138" s="62" t="s">
        <v>1016</v>
      </c>
      <c r="M138" s="32" t="s">
        <v>1017</v>
      </c>
      <c r="N138" s="32" t="s">
        <v>1018</v>
      </c>
      <c r="O138" s="41" t="s">
        <v>1051</v>
      </c>
      <c r="P138" s="41" t="s">
        <v>1020</v>
      </c>
      <c r="Q138" s="74" t="s">
        <v>363</v>
      </c>
      <c r="R138" s="74" t="s">
        <v>363</v>
      </c>
      <c r="S138" s="74" t="s">
        <v>1052</v>
      </c>
      <c r="T138" s="55"/>
      <c r="U138" s="55">
        <v>1200000</v>
      </c>
      <c r="V138" s="55">
        <v>1200000</v>
      </c>
      <c r="W138" s="55">
        <v>400000</v>
      </c>
      <c r="X138" s="55"/>
      <c r="Y138" s="55">
        <v>0</v>
      </c>
      <c r="Z138" s="28">
        <f t="shared" si="39"/>
        <v>2800000</v>
      </c>
      <c r="AA138" s="51"/>
      <c r="AB138" s="51"/>
      <c r="AC138" s="51"/>
      <c r="AD138" s="51"/>
      <c r="AE138" s="51"/>
      <c r="AF138" s="51"/>
      <c r="AG138" s="51"/>
      <c r="AH138" s="51"/>
      <c r="AI138" s="51"/>
      <c r="AJ138" s="51"/>
      <c r="AK138" s="51"/>
      <c r="AL138" s="51"/>
      <c r="AM138" s="51"/>
      <c r="AN138" s="51"/>
      <c r="AO138" s="51"/>
      <c r="AP138" s="65"/>
      <c r="AQ138" s="51"/>
      <c r="AR138" s="51"/>
      <c r="AS138" s="51"/>
      <c r="AT138" s="51"/>
      <c r="AU138" s="51"/>
      <c r="AV138" s="60">
        <v>400000</v>
      </c>
      <c r="AW138" s="60">
        <v>400000</v>
      </c>
      <c r="AX138" s="51"/>
      <c r="AY138" s="51"/>
      <c r="AZ138" s="60">
        <v>400000</v>
      </c>
      <c r="BA138" s="51"/>
      <c r="BB138" s="51"/>
      <c r="BC138" s="51"/>
      <c r="BD138" s="60">
        <v>400000</v>
      </c>
      <c r="BE138" s="51"/>
      <c r="BF138" s="51"/>
      <c r="BG138" s="51"/>
      <c r="BH138" s="51"/>
      <c r="BI138" s="51"/>
      <c r="BJ138" s="51"/>
      <c r="BK138" s="51"/>
      <c r="BL138" s="51"/>
      <c r="BM138" s="51"/>
      <c r="BN138" s="51"/>
      <c r="BO138" s="51"/>
      <c r="BP138" s="44"/>
      <c r="BQ138" s="44"/>
      <c r="BR138" s="44"/>
      <c r="BS138" s="44"/>
    </row>
    <row r="139" spans="1:71" s="50" customFormat="1" ht="86.85" customHeight="1" x14ac:dyDescent="0.25">
      <c r="A139" s="36" t="s">
        <v>858</v>
      </c>
      <c r="B139" s="42" t="s">
        <v>1012</v>
      </c>
      <c r="C139" s="32" t="s">
        <v>1013</v>
      </c>
      <c r="D139" s="30" t="str">
        <f t="shared" si="38"/>
        <v>1.11-6.11</v>
      </c>
      <c r="E139" s="32" t="s">
        <v>1053</v>
      </c>
      <c r="F139" s="30" t="s">
        <v>984</v>
      </c>
      <c r="G139" s="49" t="s">
        <v>498</v>
      </c>
      <c r="H139" s="49" t="s">
        <v>1045</v>
      </c>
      <c r="I139" s="71">
        <v>46113</v>
      </c>
      <c r="J139" s="58">
        <v>46172</v>
      </c>
      <c r="K139" s="42" t="s">
        <v>1054</v>
      </c>
      <c r="L139" s="62" t="s">
        <v>1016</v>
      </c>
      <c r="M139" s="32" t="s">
        <v>1017</v>
      </c>
      <c r="N139" s="32" t="s">
        <v>1018</v>
      </c>
      <c r="O139" s="41" t="s">
        <v>1055</v>
      </c>
      <c r="P139" s="41" t="s">
        <v>1020</v>
      </c>
      <c r="Q139" s="74" t="s">
        <v>516</v>
      </c>
      <c r="R139" s="74" t="s">
        <v>516</v>
      </c>
      <c r="S139" s="74" t="s">
        <v>376</v>
      </c>
      <c r="T139" s="55"/>
      <c r="U139" s="55"/>
      <c r="V139" s="55">
        <v>0</v>
      </c>
      <c r="W139" s="55"/>
      <c r="X139" s="55"/>
      <c r="Y139" s="55">
        <v>0</v>
      </c>
      <c r="Z139" s="28">
        <f t="shared" si="39"/>
        <v>0</v>
      </c>
      <c r="AA139" s="51"/>
      <c r="AB139" s="51"/>
      <c r="AC139" s="51"/>
      <c r="AD139" s="51"/>
      <c r="AE139" s="51"/>
      <c r="AF139" s="51"/>
      <c r="AG139" s="51"/>
      <c r="AH139" s="51"/>
      <c r="AI139" s="51"/>
      <c r="AJ139" s="51"/>
      <c r="AK139" s="51"/>
      <c r="AL139" s="51"/>
      <c r="AM139" s="51"/>
      <c r="AN139" s="51"/>
      <c r="AO139" s="51"/>
      <c r="AP139" s="65"/>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44"/>
      <c r="BQ139" s="44"/>
      <c r="BR139" s="44"/>
      <c r="BS139" s="44"/>
    </row>
    <row r="140" spans="1:71" s="50" customFormat="1" ht="86.85" customHeight="1" x14ac:dyDescent="0.25">
      <c r="A140" s="36" t="s">
        <v>858</v>
      </c>
      <c r="B140" s="42" t="s">
        <v>1012</v>
      </c>
      <c r="C140" s="32" t="s">
        <v>1013</v>
      </c>
      <c r="D140" s="30" t="str">
        <f t="shared" si="38"/>
        <v>1.11-6.12</v>
      </c>
      <c r="E140" s="32" t="s">
        <v>1056</v>
      </c>
      <c r="F140" s="30" t="s">
        <v>984</v>
      </c>
      <c r="G140" s="49" t="s">
        <v>498</v>
      </c>
      <c r="H140" s="49" t="s">
        <v>1045</v>
      </c>
      <c r="I140" s="71">
        <v>46143</v>
      </c>
      <c r="J140" s="58">
        <v>46264</v>
      </c>
      <c r="K140" s="42" t="s">
        <v>1057</v>
      </c>
      <c r="L140" s="62" t="s">
        <v>1016</v>
      </c>
      <c r="M140" s="32" t="s">
        <v>1017</v>
      </c>
      <c r="N140" s="32" t="s">
        <v>1018</v>
      </c>
      <c r="O140" s="41" t="s">
        <v>1058</v>
      </c>
      <c r="P140" s="41" t="s">
        <v>1020</v>
      </c>
      <c r="Q140" s="74" t="s">
        <v>363</v>
      </c>
      <c r="R140" s="74" t="s">
        <v>363</v>
      </c>
      <c r="S140" s="74" t="s">
        <v>376</v>
      </c>
      <c r="T140" s="55"/>
      <c r="U140" s="55"/>
      <c r="V140" s="55">
        <v>0</v>
      </c>
      <c r="W140" s="55"/>
      <c r="X140" s="55"/>
      <c r="Y140" s="55">
        <v>0</v>
      </c>
      <c r="Z140" s="28">
        <f t="shared" si="39"/>
        <v>0</v>
      </c>
      <c r="AA140" s="51"/>
      <c r="AB140" s="51"/>
      <c r="AC140" s="51"/>
      <c r="AD140" s="51"/>
      <c r="AE140" s="51"/>
      <c r="AF140" s="51"/>
      <c r="AG140" s="51"/>
      <c r="AH140" s="51"/>
      <c r="AI140" s="51"/>
      <c r="AJ140" s="51"/>
      <c r="AK140" s="51"/>
      <c r="AL140" s="51"/>
      <c r="AM140" s="51"/>
      <c r="AN140" s="51"/>
      <c r="AO140" s="51"/>
      <c r="AP140" s="65"/>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44"/>
      <c r="BQ140" s="44"/>
      <c r="BR140" s="44"/>
      <c r="BS140" s="44"/>
    </row>
    <row r="141" spans="1:71" s="50" customFormat="1" ht="86.85" customHeight="1" x14ac:dyDescent="0.25">
      <c r="A141" s="36" t="s">
        <v>858</v>
      </c>
      <c r="B141" s="42" t="s">
        <v>1012</v>
      </c>
      <c r="C141" s="32" t="s">
        <v>1013</v>
      </c>
      <c r="D141" s="30" t="str">
        <f t="shared" si="38"/>
        <v>1.11-6.13</v>
      </c>
      <c r="E141" s="32" t="s">
        <v>1059</v>
      </c>
      <c r="F141" s="30" t="s">
        <v>984</v>
      </c>
      <c r="G141" s="49" t="s">
        <v>498</v>
      </c>
      <c r="H141" s="49" t="s">
        <v>1045</v>
      </c>
      <c r="I141" s="71">
        <v>46143</v>
      </c>
      <c r="J141" s="58">
        <v>46264</v>
      </c>
      <c r="K141" s="42" t="s">
        <v>1031</v>
      </c>
      <c r="L141" s="62" t="s">
        <v>1016</v>
      </c>
      <c r="M141" s="32" t="s">
        <v>1017</v>
      </c>
      <c r="N141" s="32" t="s">
        <v>1018</v>
      </c>
      <c r="O141" s="41" t="s">
        <v>1060</v>
      </c>
      <c r="P141" s="41" t="s">
        <v>1020</v>
      </c>
      <c r="Q141" s="74" t="s">
        <v>363</v>
      </c>
      <c r="R141" s="74" t="s">
        <v>363</v>
      </c>
      <c r="S141" s="74" t="s">
        <v>376</v>
      </c>
      <c r="T141" s="55"/>
      <c r="U141" s="55"/>
      <c r="V141" s="55">
        <v>0</v>
      </c>
      <c r="W141" s="55"/>
      <c r="X141" s="55"/>
      <c r="Y141" s="55">
        <v>0</v>
      </c>
      <c r="Z141" s="28">
        <f t="shared" si="39"/>
        <v>0</v>
      </c>
      <c r="AA141" s="51"/>
      <c r="AB141" s="51"/>
      <c r="AC141" s="51"/>
      <c r="AD141" s="51"/>
      <c r="AE141" s="51"/>
      <c r="AF141" s="51"/>
      <c r="AG141" s="51"/>
      <c r="AH141" s="51"/>
      <c r="AI141" s="51"/>
      <c r="AJ141" s="51"/>
      <c r="AK141" s="51"/>
      <c r="AL141" s="51"/>
      <c r="AM141" s="51"/>
      <c r="AN141" s="51"/>
      <c r="AO141" s="51"/>
      <c r="AP141" s="65"/>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44"/>
      <c r="BQ141" s="44"/>
      <c r="BR141" s="44"/>
      <c r="BS141" s="44"/>
    </row>
    <row r="142" spans="1:71" s="84" customFormat="1" ht="14.85" customHeight="1" x14ac:dyDescent="0.25">
      <c r="A142" s="92" t="s">
        <v>1061</v>
      </c>
      <c r="B142" s="90"/>
      <c r="C142" s="90"/>
      <c r="D142" s="89"/>
      <c r="E142" s="90"/>
      <c r="F142" s="89"/>
      <c r="G142" s="91"/>
      <c r="H142" s="91"/>
      <c r="I142" s="91"/>
      <c r="J142" s="89"/>
      <c r="K142" s="90"/>
      <c r="L142" s="90"/>
      <c r="M142" s="90"/>
      <c r="N142" s="90"/>
      <c r="O142" s="89"/>
      <c r="P142" s="89"/>
      <c r="Q142" s="89"/>
      <c r="R142" s="89"/>
      <c r="S142" s="89"/>
      <c r="T142" s="88">
        <f t="shared" ref="T142:Z142" si="40">SUM(T143:T210)</f>
        <v>294044534</v>
      </c>
      <c r="U142" s="88">
        <f t="shared" si="40"/>
        <v>273712376</v>
      </c>
      <c r="V142" s="88">
        <f t="shared" si="40"/>
        <v>567756910</v>
      </c>
      <c r="W142" s="88">
        <f t="shared" si="40"/>
        <v>94296237</v>
      </c>
      <c r="X142" s="88">
        <f t="shared" si="40"/>
        <v>148774941</v>
      </c>
      <c r="Y142" s="88">
        <f t="shared" si="40"/>
        <v>71020947.960000008</v>
      </c>
      <c r="Z142" s="88">
        <f t="shared" si="40"/>
        <v>1449605945.9599998</v>
      </c>
      <c r="AA142" s="87" t="e">
        <f t="shared" ref="AA142:AR142" si="41">SUM(AA143:AA209)</f>
        <v>#REF!</v>
      </c>
      <c r="AB142" s="87">
        <f t="shared" si="41"/>
        <v>7500000</v>
      </c>
      <c r="AC142" s="87">
        <f t="shared" si="41"/>
        <v>7500000</v>
      </c>
      <c r="AD142" s="87" t="e">
        <f t="shared" si="41"/>
        <v>#REF!</v>
      </c>
      <c r="AE142" s="87">
        <f t="shared" si="41"/>
        <v>7500000</v>
      </c>
      <c r="AF142" s="87">
        <f t="shared" si="41"/>
        <v>12087718</v>
      </c>
      <c r="AG142" s="87" t="e">
        <f t="shared" si="41"/>
        <v>#REF!</v>
      </c>
      <c r="AH142" s="87">
        <f t="shared" si="41"/>
        <v>7500000</v>
      </c>
      <c r="AI142" s="87">
        <f t="shared" si="41"/>
        <v>7500000</v>
      </c>
      <c r="AJ142" s="87" t="e">
        <f t="shared" si="41"/>
        <v>#REF!</v>
      </c>
      <c r="AK142" s="87">
        <f t="shared" si="41"/>
        <v>7500000</v>
      </c>
      <c r="AL142" s="87">
        <f t="shared" si="41"/>
        <v>8794374</v>
      </c>
      <c r="AM142" s="87">
        <f t="shared" si="41"/>
        <v>42163550</v>
      </c>
      <c r="AN142" s="87">
        <f t="shared" si="41"/>
        <v>7500000</v>
      </c>
      <c r="AO142" s="87">
        <f t="shared" si="41"/>
        <v>32201441</v>
      </c>
      <c r="AP142" s="87">
        <f t="shared" si="41"/>
        <v>49978430</v>
      </c>
      <c r="AQ142" s="87">
        <f t="shared" si="41"/>
        <v>7500000</v>
      </c>
      <c r="AR142" s="87">
        <f t="shared" si="41"/>
        <v>7954100</v>
      </c>
      <c r="AS142" s="86"/>
      <c r="AT142" s="86"/>
      <c r="AU142" s="86"/>
      <c r="AV142" s="86"/>
      <c r="AW142" s="86"/>
      <c r="AX142" s="86"/>
      <c r="AY142" s="86"/>
      <c r="AZ142" s="86"/>
      <c r="BA142" s="86"/>
      <c r="BB142" s="86"/>
      <c r="BC142" s="86"/>
      <c r="BD142" s="86"/>
      <c r="BE142" s="86"/>
      <c r="BF142" s="86"/>
      <c r="BG142" s="86"/>
      <c r="BH142" s="86"/>
      <c r="BI142" s="86"/>
      <c r="BJ142" s="86"/>
      <c r="BK142" s="86"/>
      <c r="BL142" s="86"/>
      <c r="BM142" s="86"/>
      <c r="BN142" s="86"/>
      <c r="BO142" s="86"/>
      <c r="BP142" s="85" t="e">
        <f t="shared" ref="BP142:BP153" si="42">T142-SUM(AA142,AD142,AG142,AJ142,AM142,AP142)</f>
        <v>#REF!</v>
      </c>
      <c r="BQ142" s="85">
        <f t="shared" ref="BQ142:BQ153" si="43">U142-SUM(AS142,AV142,AZ142,BD142,BH142,BL142)</f>
        <v>273712376</v>
      </c>
      <c r="BR142" s="85">
        <f t="shared" ref="BR142:BR153" si="44">W142-SUM(AB142,AE142,AH142,AK142,AN142,AQ142,AT142,AW142,BA142,BE142,BI142,BM142)</f>
        <v>49296237</v>
      </c>
      <c r="BS142" s="85">
        <f t="shared" ref="BS142:BS153" si="45">X142-SUM(AC142,AF142,AI142,AL142,AO142,AR142,AU142,AX142,BB142,BF142,BJ142,BN142)</f>
        <v>72737308</v>
      </c>
    </row>
    <row r="143" spans="1:71" s="50" customFormat="1" ht="72" customHeight="1" x14ac:dyDescent="0.25">
      <c r="A143" s="36" t="s">
        <v>1062</v>
      </c>
      <c r="B143" s="32" t="s">
        <v>1063</v>
      </c>
      <c r="C143" s="32" t="s">
        <v>1064</v>
      </c>
      <c r="D143" s="30" t="str">
        <f t="shared" ref="D143:D174" si="46">TRIM(_xlfn.TEXTBEFORE(E143,":"))</f>
        <v>2.1-1.1</v>
      </c>
      <c r="E143" s="32" t="s">
        <v>1065</v>
      </c>
      <c r="F143" s="35" t="s">
        <v>167</v>
      </c>
      <c r="G143" s="34" t="s">
        <v>355</v>
      </c>
      <c r="H143" s="34"/>
      <c r="I143" s="71">
        <v>45931</v>
      </c>
      <c r="J143" s="58" t="s">
        <v>433</v>
      </c>
      <c r="K143" s="42" t="s">
        <v>1066</v>
      </c>
      <c r="L143" s="32" t="s">
        <v>1067</v>
      </c>
      <c r="M143" s="32" t="s">
        <v>1068</v>
      </c>
      <c r="N143" s="32" t="s">
        <v>1069</v>
      </c>
      <c r="O143" s="41" t="s">
        <v>1070</v>
      </c>
      <c r="P143" s="41" t="s">
        <v>1071</v>
      </c>
      <c r="Q143" s="93" t="s">
        <v>455</v>
      </c>
      <c r="R143" s="93" t="s">
        <v>1072</v>
      </c>
      <c r="S143" s="122" t="s">
        <v>376</v>
      </c>
      <c r="T143" s="55">
        <v>0</v>
      </c>
      <c r="U143" s="55">
        <v>0</v>
      </c>
      <c r="V143" s="55">
        <v>0</v>
      </c>
      <c r="W143" s="55">
        <v>0</v>
      </c>
      <c r="X143" s="55">
        <v>0</v>
      </c>
      <c r="Y143" s="55">
        <v>0</v>
      </c>
      <c r="Z143" s="28">
        <f t="shared" ref="Z143:Z174" si="47">SUM(T143:Y143)</f>
        <v>0</v>
      </c>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44">
        <f t="shared" si="42"/>
        <v>0</v>
      </c>
      <c r="BQ143" s="44">
        <f t="shared" si="43"/>
        <v>0</v>
      </c>
      <c r="BR143" s="44">
        <f t="shared" si="44"/>
        <v>0</v>
      </c>
      <c r="BS143" s="44">
        <f t="shared" si="45"/>
        <v>0</v>
      </c>
    </row>
    <row r="144" spans="1:71" s="50" customFormat="1" ht="72" customHeight="1" x14ac:dyDescent="0.25">
      <c r="A144" s="36" t="s">
        <v>1062</v>
      </c>
      <c r="B144" s="32" t="s">
        <v>1063</v>
      </c>
      <c r="C144" s="32" t="s">
        <v>1064</v>
      </c>
      <c r="D144" s="30" t="str">
        <f t="shared" si="46"/>
        <v>2.1-1.2</v>
      </c>
      <c r="E144" s="32" t="s">
        <v>1073</v>
      </c>
      <c r="F144" s="35" t="s">
        <v>167</v>
      </c>
      <c r="G144" s="34" t="s">
        <v>355</v>
      </c>
      <c r="H144" s="34"/>
      <c r="I144" s="71">
        <v>45931</v>
      </c>
      <c r="J144" s="58" t="s">
        <v>433</v>
      </c>
      <c r="K144" s="42" t="s">
        <v>1074</v>
      </c>
      <c r="L144" s="32" t="s">
        <v>1067</v>
      </c>
      <c r="M144" s="32" t="s">
        <v>1068</v>
      </c>
      <c r="N144" s="32" t="s">
        <v>1069</v>
      </c>
      <c r="O144" s="41" t="s">
        <v>1075</v>
      </c>
      <c r="P144" s="41" t="s">
        <v>1071</v>
      </c>
      <c r="Q144" s="93" t="s">
        <v>455</v>
      </c>
      <c r="R144" s="93" t="s">
        <v>1072</v>
      </c>
      <c r="S144" s="122" t="s">
        <v>376</v>
      </c>
      <c r="T144" s="55">
        <v>0</v>
      </c>
      <c r="U144" s="55">
        <v>0</v>
      </c>
      <c r="V144" s="55">
        <v>0</v>
      </c>
      <c r="W144" s="55">
        <v>0</v>
      </c>
      <c r="X144" s="55">
        <v>0</v>
      </c>
      <c r="Y144" s="55">
        <v>0</v>
      </c>
      <c r="Z144" s="28">
        <f t="shared" si="47"/>
        <v>0</v>
      </c>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44">
        <f t="shared" si="42"/>
        <v>0</v>
      </c>
      <c r="BQ144" s="44">
        <f t="shared" si="43"/>
        <v>0</v>
      </c>
      <c r="BR144" s="44">
        <f t="shared" si="44"/>
        <v>0</v>
      </c>
      <c r="BS144" s="44">
        <f t="shared" si="45"/>
        <v>0</v>
      </c>
    </row>
    <row r="145" spans="1:71" s="50" customFormat="1" ht="101.1" customHeight="1" x14ac:dyDescent="0.25">
      <c r="A145" s="36" t="s">
        <v>1062</v>
      </c>
      <c r="B145" s="32" t="s">
        <v>1063</v>
      </c>
      <c r="C145" s="32" t="s">
        <v>1064</v>
      </c>
      <c r="D145" s="30" t="str">
        <f t="shared" si="46"/>
        <v>2.1-1.3</v>
      </c>
      <c r="E145" s="32" t="s">
        <v>1076</v>
      </c>
      <c r="F145" s="35" t="s">
        <v>167</v>
      </c>
      <c r="G145" s="34" t="s">
        <v>355</v>
      </c>
      <c r="H145" s="34"/>
      <c r="I145" s="71">
        <v>45931</v>
      </c>
      <c r="J145" s="58" t="s">
        <v>839</v>
      </c>
      <c r="K145" s="42" t="s">
        <v>1077</v>
      </c>
      <c r="L145" s="32" t="s">
        <v>1067</v>
      </c>
      <c r="M145" s="32" t="s">
        <v>1068</v>
      </c>
      <c r="N145" s="32" t="s">
        <v>1069</v>
      </c>
      <c r="O145" s="41" t="s">
        <v>1071</v>
      </c>
      <c r="P145" s="41" t="s">
        <v>1071</v>
      </c>
      <c r="Q145" s="93" t="s">
        <v>455</v>
      </c>
      <c r="R145" s="93" t="s">
        <v>1072</v>
      </c>
      <c r="S145" s="122" t="s">
        <v>376</v>
      </c>
      <c r="T145" s="55">
        <v>0</v>
      </c>
      <c r="U145" s="55">
        <v>0</v>
      </c>
      <c r="V145" s="55">
        <v>0</v>
      </c>
      <c r="W145" s="55">
        <v>0</v>
      </c>
      <c r="X145" s="55">
        <v>0</v>
      </c>
      <c r="Y145" s="55">
        <v>0</v>
      </c>
      <c r="Z145" s="28">
        <f t="shared" si="47"/>
        <v>0</v>
      </c>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44">
        <f t="shared" si="42"/>
        <v>0</v>
      </c>
      <c r="BQ145" s="44">
        <f t="shared" si="43"/>
        <v>0</v>
      </c>
      <c r="BR145" s="44">
        <f t="shared" si="44"/>
        <v>0</v>
      </c>
      <c r="BS145" s="44">
        <f t="shared" si="45"/>
        <v>0</v>
      </c>
    </row>
    <row r="146" spans="1:71" s="50" customFormat="1" ht="101.1" customHeight="1" x14ac:dyDescent="0.25">
      <c r="A146" s="36" t="s">
        <v>1062</v>
      </c>
      <c r="B146" s="32" t="s">
        <v>1063</v>
      </c>
      <c r="C146" s="32" t="s">
        <v>1064</v>
      </c>
      <c r="D146" s="30" t="str">
        <f t="shared" si="46"/>
        <v>2.1-1.4</v>
      </c>
      <c r="E146" s="32" t="s">
        <v>1078</v>
      </c>
      <c r="F146" s="35" t="s">
        <v>167</v>
      </c>
      <c r="G146" s="34" t="s">
        <v>355</v>
      </c>
      <c r="H146" s="34" t="s">
        <v>419</v>
      </c>
      <c r="I146" s="71">
        <v>45931</v>
      </c>
      <c r="J146" s="58" t="s">
        <v>433</v>
      </c>
      <c r="K146" s="73"/>
      <c r="L146" s="32" t="s">
        <v>1079</v>
      </c>
      <c r="M146" s="32"/>
      <c r="N146" s="32" t="s">
        <v>1069</v>
      </c>
      <c r="O146" s="41" t="s">
        <v>1071</v>
      </c>
      <c r="P146" s="41" t="s">
        <v>1071</v>
      </c>
      <c r="Q146" s="93" t="s">
        <v>363</v>
      </c>
      <c r="R146" s="93" t="s">
        <v>363</v>
      </c>
      <c r="S146" s="122" t="s">
        <v>376</v>
      </c>
      <c r="T146" s="55">
        <v>0</v>
      </c>
      <c r="U146" s="55">
        <v>0</v>
      </c>
      <c r="V146" s="55">
        <v>0</v>
      </c>
      <c r="W146" s="55">
        <v>0</v>
      </c>
      <c r="X146" s="55">
        <v>0</v>
      </c>
      <c r="Y146" s="55">
        <v>0</v>
      </c>
      <c r="Z146" s="28">
        <f t="shared" si="47"/>
        <v>0</v>
      </c>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44">
        <f t="shared" si="42"/>
        <v>0</v>
      </c>
      <c r="BQ146" s="44">
        <f t="shared" si="43"/>
        <v>0</v>
      </c>
      <c r="BR146" s="44">
        <f t="shared" si="44"/>
        <v>0</v>
      </c>
      <c r="BS146" s="44">
        <f t="shared" si="45"/>
        <v>0</v>
      </c>
    </row>
    <row r="147" spans="1:71" s="50" customFormat="1" ht="60.75" customHeight="1" x14ac:dyDescent="0.25">
      <c r="A147" s="36" t="s">
        <v>1062</v>
      </c>
      <c r="B147" s="32" t="s">
        <v>1080</v>
      </c>
      <c r="C147" s="32" t="s">
        <v>1081</v>
      </c>
      <c r="D147" s="30" t="str">
        <f t="shared" si="46"/>
        <v>2.1-2.1</v>
      </c>
      <c r="E147" s="32" t="s">
        <v>1082</v>
      </c>
      <c r="F147" s="35" t="s">
        <v>167</v>
      </c>
      <c r="G147" s="34" t="s">
        <v>291</v>
      </c>
      <c r="H147" s="34" t="s">
        <v>409</v>
      </c>
      <c r="I147" s="71">
        <v>45931</v>
      </c>
      <c r="J147" s="58" t="s">
        <v>839</v>
      </c>
      <c r="K147" s="42"/>
      <c r="L147" s="32" t="s">
        <v>1083</v>
      </c>
      <c r="M147" s="32" t="s">
        <v>1084</v>
      </c>
      <c r="N147" s="32" t="s">
        <v>1085</v>
      </c>
      <c r="O147" s="41" t="s">
        <v>1086</v>
      </c>
      <c r="P147" s="41" t="s">
        <v>1087</v>
      </c>
      <c r="Q147" s="93" t="s">
        <v>363</v>
      </c>
      <c r="R147" s="93" t="s">
        <v>363</v>
      </c>
      <c r="S147" s="122" t="s">
        <v>376</v>
      </c>
      <c r="T147" s="55">
        <v>0</v>
      </c>
      <c r="U147" s="55">
        <v>0</v>
      </c>
      <c r="V147" s="55">
        <v>0</v>
      </c>
      <c r="W147" s="55">
        <v>0</v>
      </c>
      <c r="X147" s="55">
        <v>0</v>
      </c>
      <c r="Y147" s="55">
        <v>0</v>
      </c>
      <c r="Z147" s="28">
        <f t="shared" si="47"/>
        <v>0</v>
      </c>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44">
        <f t="shared" si="42"/>
        <v>0</v>
      </c>
      <c r="BQ147" s="44">
        <f t="shared" si="43"/>
        <v>0</v>
      </c>
      <c r="BR147" s="44">
        <f t="shared" si="44"/>
        <v>0</v>
      </c>
      <c r="BS147" s="44">
        <f t="shared" si="45"/>
        <v>0</v>
      </c>
    </row>
    <row r="148" spans="1:71" s="50" customFormat="1" ht="57" customHeight="1" x14ac:dyDescent="0.25">
      <c r="A148" s="36" t="s">
        <v>1062</v>
      </c>
      <c r="B148" s="32" t="s">
        <v>1080</v>
      </c>
      <c r="C148" s="32" t="s">
        <v>1081</v>
      </c>
      <c r="D148" s="30" t="str">
        <f t="shared" si="46"/>
        <v>2.1-2.2</v>
      </c>
      <c r="E148" s="32" t="s">
        <v>1088</v>
      </c>
      <c r="F148" s="35" t="s">
        <v>167</v>
      </c>
      <c r="G148" s="34" t="s">
        <v>355</v>
      </c>
      <c r="H148" s="34"/>
      <c r="I148" s="71">
        <v>45931</v>
      </c>
      <c r="J148" s="58" t="s">
        <v>839</v>
      </c>
      <c r="K148" s="42"/>
      <c r="L148" s="32" t="s">
        <v>1083</v>
      </c>
      <c r="M148" s="32" t="s">
        <v>1084</v>
      </c>
      <c r="N148" s="32" t="s">
        <v>1085</v>
      </c>
      <c r="O148" s="41" t="s">
        <v>1089</v>
      </c>
      <c r="P148" s="41" t="s">
        <v>1087</v>
      </c>
      <c r="Q148" s="93" t="s">
        <v>363</v>
      </c>
      <c r="R148" s="93" t="s">
        <v>363</v>
      </c>
      <c r="S148" s="122" t="s">
        <v>376</v>
      </c>
      <c r="T148" s="55">
        <v>0</v>
      </c>
      <c r="U148" s="55">
        <v>0</v>
      </c>
      <c r="V148" s="55">
        <v>0</v>
      </c>
      <c r="W148" s="55">
        <v>0</v>
      </c>
      <c r="X148" s="55">
        <v>0</v>
      </c>
      <c r="Y148" s="55">
        <v>0</v>
      </c>
      <c r="Z148" s="28">
        <f t="shared" si="47"/>
        <v>0</v>
      </c>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44">
        <f t="shared" si="42"/>
        <v>0</v>
      </c>
      <c r="BQ148" s="44">
        <f t="shared" si="43"/>
        <v>0</v>
      </c>
      <c r="BR148" s="44">
        <f t="shared" si="44"/>
        <v>0</v>
      </c>
      <c r="BS148" s="44">
        <f t="shared" si="45"/>
        <v>0</v>
      </c>
    </row>
    <row r="149" spans="1:71" s="50" customFormat="1" ht="57" customHeight="1" x14ac:dyDescent="0.25">
      <c r="A149" s="36" t="s">
        <v>1062</v>
      </c>
      <c r="B149" s="32" t="s">
        <v>1080</v>
      </c>
      <c r="C149" s="32" t="s">
        <v>1081</v>
      </c>
      <c r="D149" s="30" t="str">
        <f t="shared" si="46"/>
        <v>2.1-2.3</v>
      </c>
      <c r="E149" s="32" t="s">
        <v>1090</v>
      </c>
      <c r="F149" s="35" t="s">
        <v>167</v>
      </c>
      <c r="G149" s="34" t="s">
        <v>461</v>
      </c>
      <c r="H149" s="34"/>
      <c r="I149" s="71">
        <v>45931</v>
      </c>
      <c r="J149" s="58" t="s">
        <v>1091</v>
      </c>
      <c r="K149" s="42"/>
      <c r="L149" s="32" t="s">
        <v>1083</v>
      </c>
      <c r="M149" s="32" t="s">
        <v>1084</v>
      </c>
      <c r="N149" s="32" t="s">
        <v>1085</v>
      </c>
      <c r="O149" s="41" t="s">
        <v>1092</v>
      </c>
      <c r="P149" s="41" t="s">
        <v>1087</v>
      </c>
      <c r="Q149" s="93" t="s">
        <v>363</v>
      </c>
      <c r="R149" s="93" t="s">
        <v>363</v>
      </c>
      <c r="S149" s="122" t="s">
        <v>376</v>
      </c>
      <c r="T149" s="55">
        <v>0</v>
      </c>
      <c r="U149" s="55">
        <v>0</v>
      </c>
      <c r="V149" s="55">
        <v>0</v>
      </c>
      <c r="W149" s="55">
        <v>0</v>
      </c>
      <c r="X149" s="55">
        <v>0</v>
      </c>
      <c r="Y149" s="55">
        <v>0</v>
      </c>
      <c r="Z149" s="28">
        <f t="shared" si="47"/>
        <v>0</v>
      </c>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44">
        <f t="shared" si="42"/>
        <v>0</v>
      </c>
      <c r="BQ149" s="44">
        <f t="shared" si="43"/>
        <v>0</v>
      </c>
      <c r="BR149" s="44">
        <f t="shared" si="44"/>
        <v>0</v>
      </c>
      <c r="BS149" s="44">
        <f t="shared" si="45"/>
        <v>0</v>
      </c>
    </row>
    <row r="150" spans="1:71" s="50" customFormat="1" ht="57" customHeight="1" x14ac:dyDescent="0.25">
      <c r="A150" s="36" t="s">
        <v>1062</v>
      </c>
      <c r="B150" s="32" t="s">
        <v>1080</v>
      </c>
      <c r="C150" s="32" t="s">
        <v>1081</v>
      </c>
      <c r="D150" s="30" t="str">
        <f t="shared" si="46"/>
        <v>2.1-2.4</v>
      </c>
      <c r="E150" s="32" t="s">
        <v>1093</v>
      </c>
      <c r="F150" s="35" t="s">
        <v>167</v>
      </c>
      <c r="G150" s="34" t="s">
        <v>461</v>
      </c>
      <c r="H150" s="34"/>
      <c r="I150" s="71" t="s">
        <v>1091</v>
      </c>
      <c r="J150" s="58" t="s">
        <v>442</v>
      </c>
      <c r="K150" s="42" t="s">
        <v>1094</v>
      </c>
      <c r="L150" s="32" t="s">
        <v>1083</v>
      </c>
      <c r="M150" s="32" t="s">
        <v>1084</v>
      </c>
      <c r="N150" s="32" t="s">
        <v>1085</v>
      </c>
      <c r="O150" s="41" t="s">
        <v>1092</v>
      </c>
      <c r="P150" s="41" t="s">
        <v>1087</v>
      </c>
      <c r="Q150" s="93" t="s">
        <v>363</v>
      </c>
      <c r="R150" s="93" t="s">
        <v>363</v>
      </c>
      <c r="S150" s="122" t="s">
        <v>376</v>
      </c>
      <c r="T150" s="55">
        <v>0</v>
      </c>
      <c r="U150" s="55">
        <v>0</v>
      </c>
      <c r="V150" s="55">
        <v>0</v>
      </c>
      <c r="W150" s="55">
        <v>0</v>
      </c>
      <c r="X150" s="55">
        <v>0</v>
      </c>
      <c r="Y150" s="55">
        <v>0</v>
      </c>
      <c r="Z150" s="28">
        <f t="shared" si="47"/>
        <v>0</v>
      </c>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44">
        <f t="shared" si="42"/>
        <v>0</v>
      </c>
      <c r="BQ150" s="44">
        <f t="shared" si="43"/>
        <v>0</v>
      </c>
      <c r="BR150" s="44">
        <f t="shared" si="44"/>
        <v>0</v>
      </c>
      <c r="BS150" s="44">
        <f t="shared" si="45"/>
        <v>0</v>
      </c>
    </row>
    <row r="151" spans="1:71" s="50" customFormat="1" ht="57" customHeight="1" x14ac:dyDescent="0.25">
      <c r="A151" s="36" t="s">
        <v>1062</v>
      </c>
      <c r="B151" s="32" t="s">
        <v>1080</v>
      </c>
      <c r="C151" s="32" t="s">
        <v>1081</v>
      </c>
      <c r="D151" s="30" t="str">
        <f t="shared" si="46"/>
        <v>2.1-2.5</v>
      </c>
      <c r="E151" s="32" t="s">
        <v>1095</v>
      </c>
      <c r="F151" s="35" t="s">
        <v>167</v>
      </c>
      <c r="G151" s="34" t="s">
        <v>355</v>
      </c>
      <c r="H151" s="34"/>
      <c r="I151" s="71">
        <v>45931</v>
      </c>
      <c r="J151" s="58" t="s">
        <v>839</v>
      </c>
      <c r="K151" s="73"/>
      <c r="L151" s="32" t="s">
        <v>1083</v>
      </c>
      <c r="M151" s="32" t="s">
        <v>486</v>
      </c>
      <c r="N151" s="32" t="s">
        <v>1085</v>
      </c>
      <c r="O151" s="41" t="s">
        <v>1096</v>
      </c>
      <c r="P151" s="41" t="s">
        <v>1087</v>
      </c>
      <c r="Q151" s="93" t="s">
        <v>363</v>
      </c>
      <c r="R151" s="93" t="s">
        <v>363</v>
      </c>
      <c r="S151" s="122" t="s">
        <v>376</v>
      </c>
      <c r="T151" s="55">
        <v>0</v>
      </c>
      <c r="U151" s="55">
        <v>0</v>
      </c>
      <c r="V151" s="55">
        <v>0</v>
      </c>
      <c r="W151" s="55">
        <v>0</v>
      </c>
      <c r="X151" s="55">
        <v>0</v>
      </c>
      <c r="Y151" s="55">
        <v>0</v>
      </c>
      <c r="Z151" s="28">
        <f t="shared" si="47"/>
        <v>0</v>
      </c>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44">
        <f t="shared" si="42"/>
        <v>0</v>
      </c>
      <c r="BQ151" s="44">
        <f t="shared" si="43"/>
        <v>0</v>
      </c>
      <c r="BR151" s="44">
        <f t="shared" si="44"/>
        <v>0</v>
      </c>
      <c r="BS151" s="44">
        <f t="shared" si="45"/>
        <v>0</v>
      </c>
    </row>
    <row r="152" spans="1:71" s="50" customFormat="1" ht="57" customHeight="1" x14ac:dyDescent="0.25">
      <c r="A152" s="36" t="s">
        <v>1062</v>
      </c>
      <c r="B152" s="32" t="s">
        <v>1080</v>
      </c>
      <c r="C152" s="32" t="s">
        <v>1081</v>
      </c>
      <c r="D152" s="30" t="str">
        <f t="shared" si="46"/>
        <v>2.1-2.6</v>
      </c>
      <c r="E152" s="32" t="s">
        <v>1097</v>
      </c>
      <c r="F152" s="35" t="s">
        <v>167</v>
      </c>
      <c r="G152" s="34" t="s">
        <v>355</v>
      </c>
      <c r="H152" s="34" t="s">
        <v>409</v>
      </c>
      <c r="I152" s="71">
        <v>45931</v>
      </c>
      <c r="J152" s="58" t="s">
        <v>839</v>
      </c>
      <c r="K152" s="73"/>
      <c r="L152" s="32" t="s">
        <v>1083</v>
      </c>
      <c r="M152" s="32"/>
      <c r="N152" s="32" t="s">
        <v>1085</v>
      </c>
      <c r="O152" s="41" t="s">
        <v>1096</v>
      </c>
      <c r="P152" s="41" t="s">
        <v>1087</v>
      </c>
      <c r="Q152" s="93" t="s">
        <v>363</v>
      </c>
      <c r="R152" s="93" t="s">
        <v>363</v>
      </c>
      <c r="S152" s="122" t="s">
        <v>376</v>
      </c>
      <c r="T152" s="55">
        <v>0</v>
      </c>
      <c r="U152" s="55">
        <v>0</v>
      </c>
      <c r="V152" s="55">
        <v>0</v>
      </c>
      <c r="W152" s="55">
        <v>0</v>
      </c>
      <c r="X152" s="55">
        <v>0</v>
      </c>
      <c r="Y152" s="55">
        <v>0</v>
      </c>
      <c r="Z152" s="28">
        <f t="shared" si="47"/>
        <v>0</v>
      </c>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44">
        <f t="shared" si="42"/>
        <v>0</v>
      </c>
      <c r="BQ152" s="44">
        <f t="shared" si="43"/>
        <v>0</v>
      </c>
      <c r="BR152" s="44">
        <f t="shared" si="44"/>
        <v>0</v>
      </c>
      <c r="BS152" s="44">
        <f t="shared" si="45"/>
        <v>0</v>
      </c>
    </row>
    <row r="153" spans="1:71" s="50" customFormat="1" ht="57" customHeight="1" x14ac:dyDescent="0.25">
      <c r="A153" s="36" t="s">
        <v>1062</v>
      </c>
      <c r="B153" s="32" t="s">
        <v>1080</v>
      </c>
      <c r="C153" s="32" t="s">
        <v>1081</v>
      </c>
      <c r="D153" s="30" t="str">
        <f t="shared" si="46"/>
        <v>2.1-2.7</v>
      </c>
      <c r="E153" s="32" t="s">
        <v>1098</v>
      </c>
      <c r="F153" s="35" t="s">
        <v>167</v>
      </c>
      <c r="G153" s="34" t="s">
        <v>355</v>
      </c>
      <c r="H153" s="34" t="s">
        <v>409</v>
      </c>
      <c r="I153" s="71">
        <v>45931</v>
      </c>
      <c r="J153" s="58" t="s">
        <v>839</v>
      </c>
      <c r="K153" s="73"/>
      <c r="L153" s="32" t="s">
        <v>1083</v>
      </c>
      <c r="M153" s="32" t="s">
        <v>1084</v>
      </c>
      <c r="N153" s="32" t="s">
        <v>1085</v>
      </c>
      <c r="O153" s="41" t="s">
        <v>1099</v>
      </c>
      <c r="P153" s="41" t="s">
        <v>1087</v>
      </c>
      <c r="Q153" s="93" t="s">
        <v>363</v>
      </c>
      <c r="R153" s="93" t="s">
        <v>363</v>
      </c>
      <c r="S153" s="122" t="s">
        <v>376</v>
      </c>
      <c r="T153" s="55">
        <v>0</v>
      </c>
      <c r="U153" s="55">
        <v>0</v>
      </c>
      <c r="V153" s="55">
        <v>0</v>
      </c>
      <c r="W153" s="55">
        <v>0</v>
      </c>
      <c r="X153" s="55">
        <v>0</v>
      </c>
      <c r="Y153" s="55">
        <v>0</v>
      </c>
      <c r="Z153" s="28">
        <f t="shared" si="47"/>
        <v>0</v>
      </c>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44">
        <f t="shared" si="42"/>
        <v>0</v>
      </c>
      <c r="BQ153" s="44">
        <f t="shared" si="43"/>
        <v>0</v>
      </c>
      <c r="BR153" s="44">
        <f t="shared" si="44"/>
        <v>0</v>
      </c>
      <c r="BS153" s="44">
        <f t="shared" si="45"/>
        <v>0</v>
      </c>
    </row>
    <row r="154" spans="1:71" s="50" customFormat="1" ht="57" customHeight="1" x14ac:dyDescent="0.25">
      <c r="A154" s="36" t="s">
        <v>1062</v>
      </c>
      <c r="B154" s="32" t="s">
        <v>1080</v>
      </c>
      <c r="C154" s="32" t="s">
        <v>1081</v>
      </c>
      <c r="D154" s="30" t="str">
        <f t="shared" si="46"/>
        <v>2.1-2.8</v>
      </c>
      <c r="E154" s="32" t="s">
        <v>1100</v>
      </c>
      <c r="F154" s="35" t="s">
        <v>167</v>
      </c>
      <c r="G154" s="34" t="s">
        <v>355</v>
      </c>
      <c r="H154" s="34" t="s">
        <v>409</v>
      </c>
      <c r="I154" s="71">
        <v>46113</v>
      </c>
      <c r="J154" s="58" t="s">
        <v>839</v>
      </c>
      <c r="K154" s="73"/>
      <c r="L154" s="32" t="s">
        <v>1083</v>
      </c>
      <c r="M154" s="32"/>
      <c r="N154" s="32" t="s">
        <v>1085</v>
      </c>
      <c r="O154" s="41" t="s">
        <v>1099</v>
      </c>
      <c r="P154" s="41" t="s">
        <v>1087</v>
      </c>
      <c r="Q154" s="93" t="s">
        <v>363</v>
      </c>
      <c r="R154" s="93" t="s">
        <v>363</v>
      </c>
      <c r="S154" s="30" t="s">
        <v>1101</v>
      </c>
      <c r="T154" s="55">
        <v>0</v>
      </c>
      <c r="U154" s="55">
        <v>0</v>
      </c>
      <c r="V154" s="55">
        <v>0</v>
      </c>
      <c r="W154" s="55"/>
      <c r="X154" s="55"/>
      <c r="Y154" s="55">
        <v>16375979</v>
      </c>
      <c r="Z154" s="28">
        <f t="shared" si="47"/>
        <v>16375979</v>
      </c>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60">
        <v>16375979</v>
      </c>
      <c r="BH154" s="51"/>
      <c r="BI154" s="51"/>
      <c r="BJ154" s="51"/>
      <c r="BK154" s="51"/>
      <c r="BL154" s="51"/>
      <c r="BM154" s="51"/>
      <c r="BN154" s="51"/>
      <c r="BO154" s="51"/>
      <c r="BP154" s="44"/>
      <c r="BQ154" s="44"/>
      <c r="BR154" s="44"/>
      <c r="BS154" s="44"/>
    </row>
    <row r="155" spans="1:71" s="50" customFormat="1" ht="101.1" customHeight="1" x14ac:dyDescent="0.25">
      <c r="A155" s="36" t="s">
        <v>1102</v>
      </c>
      <c r="B155" s="32" t="s">
        <v>1103</v>
      </c>
      <c r="C155" s="32" t="s">
        <v>1104</v>
      </c>
      <c r="D155" s="30" t="str">
        <f t="shared" si="46"/>
        <v>2.2-1.1</v>
      </c>
      <c r="E155" s="32" t="s">
        <v>1105</v>
      </c>
      <c r="F155" s="35" t="s">
        <v>167</v>
      </c>
      <c r="G155" s="34" t="s">
        <v>291</v>
      </c>
      <c r="H155" s="34" t="s">
        <v>608</v>
      </c>
      <c r="I155" s="71">
        <v>45931</v>
      </c>
      <c r="J155" s="58" t="s">
        <v>839</v>
      </c>
      <c r="K155" s="42" t="s">
        <v>1106</v>
      </c>
      <c r="L155" s="32" t="s">
        <v>1107</v>
      </c>
      <c r="M155" s="32" t="s">
        <v>1108</v>
      </c>
      <c r="N155" s="32" t="s">
        <v>215</v>
      </c>
      <c r="O155" s="41" t="s">
        <v>1109</v>
      </c>
      <c r="P155" s="41" t="s">
        <v>1109</v>
      </c>
      <c r="Q155" s="93" t="s">
        <v>363</v>
      </c>
      <c r="R155" s="93" t="s">
        <v>363</v>
      </c>
      <c r="S155" s="122" t="s">
        <v>376</v>
      </c>
      <c r="T155" s="55">
        <v>0</v>
      </c>
      <c r="U155" s="55">
        <v>0</v>
      </c>
      <c r="V155" s="55">
        <v>0</v>
      </c>
      <c r="W155" s="55">
        <v>0</v>
      </c>
      <c r="X155" s="55">
        <v>0</v>
      </c>
      <c r="Y155" s="55">
        <v>0</v>
      </c>
      <c r="Z155" s="28">
        <f t="shared" si="47"/>
        <v>0</v>
      </c>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44">
        <f t="shared" ref="BP155:BP167" si="48">T155-SUM(AA155,AD155,AG155,AJ155,AM155,AP155)</f>
        <v>0</v>
      </c>
      <c r="BQ155" s="44">
        <f t="shared" ref="BQ155:BQ162" si="49">U155-SUM(AS155,AV155,AZ155,BD155,BH155,BL155)</f>
        <v>0</v>
      </c>
      <c r="BR155" s="44">
        <f>W155-SUM(AB155,AE155,AH155,AK155,AN155,AQ155,AT155,AW155,BA155,BE155,BI155,BM155)</f>
        <v>0</v>
      </c>
      <c r="BS155" s="44">
        <f>X155-SUM(AC155,AF155,AI155,AL155,AO155,AR155,AU155,AX155,BB155,BF155,BJ155,BN155)</f>
        <v>0</v>
      </c>
    </row>
    <row r="156" spans="1:71" s="50" customFormat="1" ht="101.1" customHeight="1" x14ac:dyDescent="0.25">
      <c r="A156" s="36" t="s">
        <v>1102</v>
      </c>
      <c r="B156" s="32" t="s">
        <v>1103</v>
      </c>
      <c r="C156" s="32" t="s">
        <v>1104</v>
      </c>
      <c r="D156" s="30" t="str">
        <f t="shared" si="46"/>
        <v>2.2-1.2</v>
      </c>
      <c r="E156" s="78" t="s">
        <v>1110</v>
      </c>
      <c r="F156" s="35" t="s">
        <v>167</v>
      </c>
      <c r="G156" s="34" t="s">
        <v>291</v>
      </c>
      <c r="H156" s="34" t="s">
        <v>608</v>
      </c>
      <c r="I156" s="71">
        <v>45962</v>
      </c>
      <c r="J156" s="58" t="s">
        <v>839</v>
      </c>
      <c r="K156" s="42" t="s">
        <v>1111</v>
      </c>
      <c r="L156" s="32" t="s">
        <v>1107</v>
      </c>
      <c r="M156" s="32" t="s">
        <v>1108</v>
      </c>
      <c r="N156" s="32" t="s">
        <v>215</v>
      </c>
      <c r="O156" s="41" t="s">
        <v>1109</v>
      </c>
      <c r="P156" s="41" t="s">
        <v>1109</v>
      </c>
      <c r="Q156" s="93" t="s">
        <v>363</v>
      </c>
      <c r="R156" s="93" t="s">
        <v>363</v>
      </c>
      <c r="S156" s="122" t="s">
        <v>376</v>
      </c>
      <c r="T156" s="55">
        <v>0</v>
      </c>
      <c r="U156" s="55">
        <v>0</v>
      </c>
      <c r="V156" s="55">
        <v>0</v>
      </c>
      <c r="W156" s="55">
        <v>0</v>
      </c>
      <c r="X156" s="55">
        <v>0</v>
      </c>
      <c r="Y156" s="55">
        <v>0</v>
      </c>
      <c r="Z156" s="28">
        <f t="shared" si="47"/>
        <v>0</v>
      </c>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44">
        <f t="shared" si="48"/>
        <v>0</v>
      </c>
      <c r="BQ156" s="44">
        <f t="shared" si="49"/>
        <v>0</v>
      </c>
      <c r="BR156" s="44">
        <f>W156-SUM(AB156,AE156,AH156,AK156,AN156,AQ156,AT156,AW156,BA156,BE156,BI156,BM156)</f>
        <v>0</v>
      </c>
      <c r="BS156" s="44">
        <f>X156-SUM(AC156,AF156,AI156,AL156,AO156,AR156,AU156,AX156,BB156,BF156,BJ156,BN156)</f>
        <v>0</v>
      </c>
    </row>
    <row r="157" spans="1:71" s="105" customFormat="1" ht="101.1" customHeight="1" x14ac:dyDescent="0.25">
      <c r="A157" s="36" t="s">
        <v>1102</v>
      </c>
      <c r="B157" s="32" t="s">
        <v>1103</v>
      </c>
      <c r="C157" s="32" t="s">
        <v>1104</v>
      </c>
      <c r="D157" s="30" t="str">
        <f t="shared" si="46"/>
        <v>2.2-1.3</v>
      </c>
      <c r="E157" s="78" t="s">
        <v>1112</v>
      </c>
      <c r="F157" s="102" t="s">
        <v>167</v>
      </c>
      <c r="G157" s="34" t="s">
        <v>291</v>
      </c>
      <c r="H157" s="34" t="s">
        <v>608</v>
      </c>
      <c r="I157" s="100">
        <v>46143</v>
      </c>
      <c r="J157" s="124">
        <v>46203</v>
      </c>
      <c r="K157" s="123"/>
      <c r="L157" s="32" t="s">
        <v>1107</v>
      </c>
      <c r="M157" s="32" t="s">
        <v>1108</v>
      </c>
      <c r="N157" s="32" t="s">
        <v>215</v>
      </c>
      <c r="O157" s="113" t="s">
        <v>1113</v>
      </c>
      <c r="P157" s="41" t="s">
        <v>1109</v>
      </c>
      <c r="Q157" s="93" t="s">
        <v>363</v>
      </c>
      <c r="R157" s="93" t="s">
        <v>363</v>
      </c>
      <c r="S157" s="122" t="s">
        <v>376</v>
      </c>
      <c r="T157" s="55">
        <v>0</v>
      </c>
      <c r="U157" s="55">
        <v>0</v>
      </c>
      <c r="V157" s="55">
        <v>0</v>
      </c>
      <c r="W157" s="55"/>
      <c r="X157" s="55"/>
      <c r="Y157" s="55">
        <v>0</v>
      </c>
      <c r="Z157" s="28">
        <f t="shared" si="47"/>
        <v>0</v>
      </c>
      <c r="AA157" s="106"/>
      <c r="AB157" s="106"/>
      <c r="AC157" s="106"/>
      <c r="AD157" s="106"/>
      <c r="AE157" s="106"/>
      <c r="AF157" s="106"/>
      <c r="AG157" s="106"/>
      <c r="AH157" s="106"/>
      <c r="AI157" s="106"/>
      <c r="AJ157" s="106"/>
      <c r="AK157" s="106"/>
      <c r="AL157" s="106"/>
      <c r="AM157" s="106"/>
      <c r="AN157" s="106"/>
      <c r="AO157" s="106"/>
      <c r="AP157" s="106"/>
      <c r="AQ157" s="106"/>
      <c r="AR157" s="106"/>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85">
        <f t="shared" si="48"/>
        <v>0</v>
      </c>
      <c r="BQ157" s="85">
        <f t="shared" si="49"/>
        <v>0</v>
      </c>
      <c r="BR157" s="85"/>
      <c r="BS157" s="85"/>
    </row>
    <row r="158" spans="1:71" s="105" customFormat="1" ht="101.1" customHeight="1" x14ac:dyDescent="0.25">
      <c r="A158" s="36" t="s">
        <v>1102</v>
      </c>
      <c r="B158" s="32" t="s">
        <v>1103</v>
      </c>
      <c r="C158" s="32" t="s">
        <v>1104</v>
      </c>
      <c r="D158" s="30" t="str">
        <f t="shared" si="46"/>
        <v>2.2-1.4</v>
      </c>
      <c r="E158" s="78" t="s">
        <v>184</v>
      </c>
      <c r="F158" s="102" t="s">
        <v>167</v>
      </c>
      <c r="G158" s="34" t="s">
        <v>291</v>
      </c>
      <c r="H158" s="34" t="s">
        <v>608</v>
      </c>
      <c r="I158" s="100">
        <v>46143</v>
      </c>
      <c r="J158" s="124">
        <v>46203</v>
      </c>
      <c r="K158" s="123"/>
      <c r="L158" s="32" t="s">
        <v>1107</v>
      </c>
      <c r="M158" s="32" t="s">
        <v>1108</v>
      </c>
      <c r="N158" s="32" t="s">
        <v>215</v>
      </c>
      <c r="O158" s="113" t="s">
        <v>1114</v>
      </c>
      <c r="P158" s="41" t="s">
        <v>1109</v>
      </c>
      <c r="Q158" s="93" t="s">
        <v>363</v>
      </c>
      <c r="R158" s="93" t="s">
        <v>363</v>
      </c>
      <c r="S158" s="122" t="s">
        <v>376</v>
      </c>
      <c r="T158" s="55">
        <v>0</v>
      </c>
      <c r="U158" s="55">
        <v>0</v>
      </c>
      <c r="V158" s="55">
        <v>0</v>
      </c>
      <c r="W158" s="55">
        <v>0</v>
      </c>
      <c r="X158" s="55">
        <v>0</v>
      </c>
      <c r="Y158" s="55">
        <v>0</v>
      </c>
      <c r="Z158" s="28">
        <f t="shared" si="47"/>
        <v>0</v>
      </c>
      <c r="AA158" s="106"/>
      <c r="AB158" s="106"/>
      <c r="AC158" s="106"/>
      <c r="AD158" s="106"/>
      <c r="AE158" s="106"/>
      <c r="AF158" s="106"/>
      <c r="AG158" s="106"/>
      <c r="AH158" s="106"/>
      <c r="AI158" s="106"/>
      <c r="AJ158" s="106"/>
      <c r="AK158" s="106"/>
      <c r="AL158" s="106"/>
      <c r="AM158" s="106"/>
      <c r="AN158" s="106"/>
      <c r="AO158" s="106"/>
      <c r="AP158" s="106"/>
      <c r="AQ158" s="106"/>
      <c r="AR158" s="106"/>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85">
        <f t="shared" si="48"/>
        <v>0</v>
      </c>
      <c r="BQ158" s="85">
        <f t="shared" si="49"/>
        <v>0</v>
      </c>
      <c r="BR158" s="85"/>
      <c r="BS158" s="85"/>
    </row>
    <row r="159" spans="1:71" s="50" customFormat="1" ht="65.849999999999994" customHeight="1" x14ac:dyDescent="0.25">
      <c r="A159" s="36" t="s">
        <v>1102</v>
      </c>
      <c r="B159" s="32" t="s">
        <v>1115</v>
      </c>
      <c r="C159" s="32" t="s">
        <v>1116</v>
      </c>
      <c r="D159" s="30" t="str">
        <f t="shared" si="46"/>
        <v>2.2-2.1</v>
      </c>
      <c r="E159" s="32" t="s">
        <v>1117</v>
      </c>
      <c r="F159" s="35" t="s">
        <v>167</v>
      </c>
      <c r="G159" s="34" t="s">
        <v>291</v>
      </c>
      <c r="H159" s="34" t="s">
        <v>608</v>
      </c>
      <c r="I159" s="71">
        <v>45931</v>
      </c>
      <c r="J159" s="58" t="s">
        <v>839</v>
      </c>
      <c r="K159" s="42"/>
      <c r="L159" s="32" t="s">
        <v>1118</v>
      </c>
      <c r="M159" s="32" t="s">
        <v>1119</v>
      </c>
      <c r="N159" s="32" t="s">
        <v>194</v>
      </c>
      <c r="O159" s="41" t="s">
        <v>1120</v>
      </c>
      <c r="P159" s="41" t="s">
        <v>1120</v>
      </c>
      <c r="Q159" s="93" t="s">
        <v>363</v>
      </c>
      <c r="R159" s="93" t="s">
        <v>363</v>
      </c>
      <c r="S159" s="122" t="s">
        <v>376</v>
      </c>
      <c r="T159" s="55">
        <v>0</v>
      </c>
      <c r="U159" s="55">
        <v>0</v>
      </c>
      <c r="V159" s="55">
        <v>0</v>
      </c>
      <c r="W159" s="55">
        <v>0</v>
      </c>
      <c r="X159" s="55">
        <v>0</v>
      </c>
      <c r="Y159" s="55">
        <v>0</v>
      </c>
      <c r="Z159" s="28">
        <f t="shared" si="47"/>
        <v>0</v>
      </c>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44">
        <f t="shared" si="48"/>
        <v>0</v>
      </c>
      <c r="BQ159" s="44">
        <f t="shared" si="49"/>
        <v>0</v>
      </c>
      <c r="BR159" s="44">
        <f>W159-SUM(AB159,AE159,AH159,AK159,AN159,AQ159,AT159,AW159,BA159,BE159,BI159,BM159)</f>
        <v>0</v>
      </c>
      <c r="BS159" s="44">
        <f>X159-SUM(AC159,AF159,AI159,AL159,AO159,AR159,AU159,AX159,BB159,BF159,BJ159,BN159)</f>
        <v>0</v>
      </c>
    </row>
    <row r="160" spans="1:71" s="50" customFormat="1" ht="65.849999999999994" customHeight="1" x14ac:dyDescent="0.25">
      <c r="A160" s="36" t="s">
        <v>1102</v>
      </c>
      <c r="B160" s="32" t="s">
        <v>1115</v>
      </c>
      <c r="C160" s="32" t="s">
        <v>1116</v>
      </c>
      <c r="D160" s="30" t="str">
        <f t="shared" si="46"/>
        <v>2.2-2.2</v>
      </c>
      <c r="E160" s="32" t="s">
        <v>1121</v>
      </c>
      <c r="F160" s="35" t="s">
        <v>167</v>
      </c>
      <c r="G160" s="34" t="s">
        <v>291</v>
      </c>
      <c r="H160" s="34" t="s">
        <v>608</v>
      </c>
      <c r="I160" s="71">
        <v>45962</v>
      </c>
      <c r="J160" s="58" t="s">
        <v>839</v>
      </c>
      <c r="K160" s="42" t="s">
        <v>1122</v>
      </c>
      <c r="L160" s="32" t="s">
        <v>1118</v>
      </c>
      <c r="M160" s="32" t="s">
        <v>1119</v>
      </c>
      <c r="N160" s="32" t="s">
        <v>194</v>
      </c>
      <c r="O160" s="41" t="s">
        <v>1120</v>
      </c>
      <c r="P160" s="41" t="s">
        <v>1120</v>
      </c>
      <c r="Q160" s="93" t="s">
        <v>363</v>
      </c>
      <c r="R160" s="93" t="s">
        <v>363</v>
      </c>
      <c r="S160" s="122" t="s">
        <v>376</v>
      </c>
      <c r="T160" s="55">
        <v>0</v>
      </c>
      <c r="U160" s="55">
        <v>0</v>
      </c>
      <c r="V160" s="55">
        <v>0</v>
      </c>
      <c r="W160" s="55">
        <v>0</v>
      </c>
      <c r="X160" s="55">
        <v>0</v>
      </c>
      <c r="Y160" s="55">
        <v>0</v>
      </c>
      <c r="Z160" s="28">
        <f t="shared" si="47"/>
        <v>0</v>
      </c>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44">
        <f t="shared" si="48"/>
        <v>0</v>
      </c>
      <c r="BQ160" s="44">
        <f t="shared" si="49"/>
        <v>0</v>
      </c>
      <c r="BR160" s="44">
        <f>W160-SUM(AB160,AE160,AH160,AK160,AN160,AQ160,AT160,AW160,BA160,BE160,BI160,BM160)</f>
        <v>0</v>
      </c>
      <c r="BS160" s="44">
        <f>X160-SUM(AC160,AF160,AI160,AL160,AO160,AR160,AU160,AX160,BB160,BF160,BJ160,BN160)</f>
        <v>0</v>
      </c>
    </row>
    <row r="161" spans="1:71" s="50" customFormat="1" ht="65.849999999999994" customHeight="1" x14ac:dyDescent="0.25">
      <c r="A161" s="36" t="s">
        <v>1102</v>
      </c>
      <c r="B161" s="32" t="s">
        <v>1115</v>
      </c>
      <c r="C161" s="32" t="s">
        <v>1116</v>
      </c>
      <c r="D161" s="30" t="str">
        <f t="shared" si="46"/>
        <v>2.2-2.3</v>
      </c>
      <c r="E161" s="32" t="s">
        <v>1123</v>
      </c>
      <c r="F161" s="35" t="s">
        <v>167</v>
      </c>
      <c r="G161" s="34" t="s">
        <v>291</v>
      </c>
      <c r="H161" s="34" t="s">
        <v>608</v>
      </c>
      <c r="I161" s="71">
        <v>46143</v>
      </c>
      <c r="J161" s="58" t="s">
        <v>839</v>
      </c>
      <c r="K161" s="73"/>
      <c r="L161" s="32" t="s">
        <v>1118</v>
      </c>
      <c r="M161" s="32" t="s">
        <v>1119</v>
      </c>
      <c r="N161" s="32" t="s">
        <v>194</v>
      </c>
      <c r="O161" s="41"/>
      <c r="P161" s="41" t="s">
        <v>1120</v>
      </c>
      <c r="Q161" s="93" t="s">
        <v>363</v>
      </c>
      <c r="R161" s="93" t="s">
        <v>415</v>
      </c>
      <c r="S161" s="122" t="s">
        <v>376</v>
      </c>
      <c r="T161" s="55">
        <v>0</v>
      </c>
      <c r="U161" s="55">
        <v>0</v>
      </c>
      <c r="V161" s="55">
        <v>0</v>
      </c>
      <c r="W161" s="55">
        <v>0</v>
      </c>
      <c r="X161" s="55">
        <v>0</v>
      </c>
      <c r="Y161" s="55">
        <v>0</v>
      </c>
      <c r="Z161" s="28">
        <f t="shared" si="47"/>
        <v>0</v>
      </c>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44">
        <f t="shared" si="48"/>
        <v>0</v>
      </c>
      <c r="BQ161" s="44">
        <f t="shared" si="49"/>
        <v>0</v>
      </c>
      <c r="BR161" s="44"/>
      <c r="BS161" s="44"/>
    </row>
    <row r="162" spans="1:71" s="50" customFormat="1" ht="65.849999999999994" customHeight="1" x14ac:dyDescent="0.25">
      <c r="A162" s="36" t="s">
        <v>1102</v>
      </c>
      <c r="B162" s="32" t="s">
        <v>1115</v>
      </c>
      <c r="C162" s="32" t="s">
        <v>1116</v>
      </c>
      <c r="D162" s="30" t="str">
        <f t="shared" si="46"/>
        <v>2.2-2.4</v>
      </c>
      <c r="E162" s="32" t="s">
        <v>1124</v>
      </c>
      <c r="F162" s="35" t="s">
        <v>167</v>
      </c>
      <c r="G162" s="34" t="s">
        <v>291</v>
      </c>
      <c r="H162" s="34" t="s">
        <v>608</v>
      </c>
      <c r="I162" s="71">
        <v>46143</v>
      </c>
      <c r="J162" s="58">
        <v>46264</v>
      </c>
      <c r="K162" s="73"/>
      <c r="L162" s="32" t="s">
        <v>1118</v>
      </c>
      <c r="M162" s="32" t="s">
        <v>1119</v>
      </c>
      <c r="N162" s="32" t="s">
        <v>194</v>
      </c>
      <c r="O162" s="41" t="s">
        <v>1125</v>
      </c>
      <c r="P162" s="41" t="s">
        <v>1120</v>
      </c>
      <c r="Q162" s="93" t="s">
        <v>363</v>
      </c>
      <c r="R162" s="93" t="s">
        <v>363</v>
      </c>
      <c r="S162" s="122" t="s">
        <v>376</v>
      </c>
      <c r="T162" s="55">
        <v>0</v>
      </c>
      <c r="U162" s="55">
        <v>0</v>
      </c>
      <c r="V162" s="55">
        <v>0</v>
      </c>
      <c r="W162" s="55">
        <v>0</v>
      </c>
      <c r="X162" s="55">
        <v>0</v>
      </c>
      <c r="Y162" s="55">
        <v>0</v>
      </c>
      <c r="Z162" s="28">
        <f t="shared" si="47"/>
        <v>0</v>
      </c>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44">
        <f t="shared" si="48"/>
        <v>0</v>
      </c>
      <c r="BQ162" s="44">
        <f t="shared" si="49"/>
        <v>0</v>
      </c>
      <c r="BR162" s="44"/>
      <c r="BS162" s="44"/>
    </row>
    <row r="163" spans="1:71" s="50" customFormat="1" ht="65.849999999999994" customHeight="1" x14ac:dyDescent="0.25">
      <c r="A163" s="36" t="s">
        <v>1102</v>
      </c>
      <c r="B163" s="32" t="s">
        <v>1115</v>
      </c>
      <c r="C163" s="32" t="s">
        <v>1116</v>
      </c>
      <c r="D163" s="30" t="str">
        <f t="shared" si="46"/>
        <v>2.2-2.5</v>
      </c>
      <c r="E163" s="32" t="s">
        <v>1126</v>
      </c>
      <c r="F163" s="35" t="s">
        <v>167</v>
      </c>
      <c r="G163" s="34" t="s">
        <v>291</v>
      </c>
      <c r="H163" s="34" t="s">
        <v>608</v>
      </c>
      <c r="I163" s="71">
        <v>46143</v>
      </c>
      <c r="J163" s="58" t="s">
        <v>839</v>
      </c>
      <c r="K163" s="73"/>
      <c r="L163" s="32" t="s">
        <v>1118</v>
      </c>
      <c r="M163" s="32" t="s">
        <v>1119</v>
      </c>
      <c r="N163" s="32" t="s">
        <v>194</v>
      </c>
      <c r="O163" s="41" t="s">
        <v>1127</v>
      </c>
      <c r="P163" s="41" t="s">
        <v>1120</v>
      </c>
      <c r="Q163" s="93" t="s">
        <v>363</v>
      </c>
      <c r="R163" s="93" t="s">
        <v>363</v>
      </c>
      <c r="S163" s="122" t="s">
        <v>1128</v>
      </c>
      <c r="T163" s="55">
        <v>0</v>
      </c>
      <c r="U163" s="55">
        <v>2100000</v>
      </c>
      <c r="V163" s="55">
        <v>2100000</v>
      </c>
      <c r="W163" s="55"/>
      <c r="X163" s="55"/>
      <c r="Y163" s="55"/>
      <c r="Z163" s="28">
        <f t="shared" si="47"/>
        <v>4200000</v>
      </c>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60">
        <v>700000</v>
      </c>
      <c r="AW163" s="51"/>
      <c r="AX163" s="51"/>
      <c r="AY163" s="51"/>
      <c r="AZ163" s="51"/>
      <c r="BA163" s="51"/>
      <c r="BB163" s="51"/>
      <c r="BC163" s="51"/>
      <c r="BD163" s="60">
        <v>700000</v>
      </c>
      <c r="BE163" s="51"/>
      <c r="BF163" s="51"/>
      <c r="BG163" s="51"/>
      <c r="BH163" s="51"/>
      <c r="BI163" s="51"/>
      <c r="BJ163" s="51"/>
      <c r="BK163" s="51"/>
      <c r="BL163" s="60">
        <v>700000</v>
      </c>
      <c r="BM163" s="51"/>
      <c r="BN163" s="51"/>
      <c r="BO163" s="51"/>
      <c r="BP163" s="44">
        <f t="shared" si="48"/>
        <v>0</v>
      </c>
      <c r="BQ163" s="44"/>
      <c r="BR163" s="44"/>
      <c r="BS163" s="44"/>
    </row>
    <row r="164" spans="1:71" s="50" customFormat="1" ht="71.849999999999994" customHeight="1" x14ac:dyDescent="0.25">
      <c r="A164" s="36" t="s">
        <v>1102</v>
      </c>
      <c r="B164" s="32" t="s">
        <v>1129</v>
      </c>
      <c r="C164" s="32" t="s">
        <v>1130</v>
      </c>
      <c r="D164" s="30" t="str">
        <f t="shared" si="46"/>
        <v>2.2-3.1</v>
      </c>
      <c r="E164" s="32" t="s">
        <v>1131</v>
      </c>
      <c r="F164" s="35" t="s">
        <v>167</v>
      </c>
      <c r="G164" s="34" t="s">
        <v>291</v>
      </c>
      <c r="H164" s="34" t="s">
        <v>608</v>
      </c>
      <c r="I164" s="71">
        <v>45667</v>
      </c>
      <c r="J164" s="58" t="s">
        <v>433</v>
      </c>
      <c r="K164" s="32" t="s">
        <v>1132</v>
      </c>
      <c r="L164" s="32" t="s">
        <v>1132</v>
      </c>
      <c r="M164" s="32" t="s">
        <v>1133</v>
      </c>
      <c r="N164" s="32" t="s">
        <v>189</v>
      </c>
      <c r="O164" s="41" t="s">
        <v>892</v>
      </c>
      <c r="P164" s="41" t="s">
        <v>892</v>
      </c>
      <c r="Q164" s="93" t="s">
        <v>363</v>
      </c>
      <c r="R164" s="93" t="s">
        <v>415</v>
      </c>
      <c r="S164" s="93" t="s">
        <v>1134</v>
      </c>
      <c r="T164" s="55">
        <v>4708519</v>
      </c>
      <c r="U164" s="55">
        <v>981518</v>
      </c>
      <c r="V164" s="55">
        <v>5690037</v>
      </c>
      <c r="W164" s="55">
        <v>4296237</v>
      </c>
      <c r="X164" s="55">
        <v>5846991</v>
      </c>
      <c r="Y164" s="55"/>
      <c r="Z164" s="28">
        <f t="shared" si="47"/>
        <v>21523302</v>
      </c>
      <c r="AA164" s="51"/>
      <c r="AB164" s="51"/>
      <c r="AC164" s="51"/>
      <c r="AD164" s="51">
        <f>+T164</f>
        <v>4708519</v>
      </c>
      <c r="AE164" s="51"/>
      <c r="AF164" s="51">
        <f>+(W164-T164)</f>
        <v>-412282</v>
      </c>
      <c r="AG164" s="51"/>
      <c r="AH164" s="51"/>
      <c r="AI164" s="51"/>
      <c r="AJ164" s="51"/>
      <c r="AK164" s="51"/>
      <c r="AL164" s="51"/>
      <c r="AM164" s="51"/>
      <c r="AN164" s="51"/>
      <c r="AO164" s="51"/>
      <c r="AP164" s="51"/>
      <c r="AQ164" s="51"/>
      <c r="AR164" s="51"/>
      <c r="AS164" s="51"/>
      <c r="AT164" s="51"/>
      <c r="AU164" s="51"/>
      <c r="AV164" s="60">
        <v>981518</v>
      </c>
      <c r="AW164" s="60">
        <v>4296237</v>
      </c>
      <c r="AX164" s="51"/>
      <c r="AY164" s="51"/>
      <c r="AZ164" s="51"/>
      <c r="BA164" s="51"/>
      <c r="BB164" s="51"/>
      <c r="BC164" s="51"/>
      <c r="BD164" s="51"/>
      <c r="BE164" s="51"/>
      <c r="BF164" s="51"/>
      <c r="BG164" s="51"/>
      <c r="BH164" s="51"/>
      <c r="BI164" s="51"/>
      <c r="BJ164" s="60">
        <v>5336408</v>
      </c>
      <c r="BK164" s="51"/>
      <c r="BL164" s="51"/>
      <c r="BM164" s="51"/>
      <c r="BN164" s="51"/>
      <c r="BO164" s="51"/>
      <c r="BP164" s="44">
        <f t="shared" si="48"/>
        <v>0</v>
      </c>
      <c r="BQ164" s="44">
        <f>U164-SUM(AS164,AV164,AZ164,BD164,BH164,BL164)</f>
        <v>0</v>
      </c>
      <c r="BR164" s="44">
        <f t="shared" ref="BR164:BS167" si="50">W164-SUM(AB164,AE164,AH164,AK164,AN164,AQ164,AT164,AW164,BA164,BE164,BI164,BM164)</f>
        <v>0</v>
      </c>
      <c r="BS164" s="44">
        <f t="shared" si="50"/>
        <v>922865</v>
      </c>
    </row>
    <row r="165" spans="1:71" s="50" customFormat="1" ht="101.1" customHeight="1" x14ac:dyDescent="0.25">
      <c r="A165" s="36" t="s">
        <v>1102</v>
      </c>
      <c r="B165" s="32" t="s">
        <v>1129</v>
      </c>
      <c r="C165" s="32" t="s">
        <v>1135</v>
      </c>
      <c r="D165" s="30" t="str">
        <f t="shared" si="46"/>
        <v>2.2-3.2</v>
      </c>
      <c r="E165" s="32" t="s">
        <v>197</v>
      </c>
      <c r="F165" s="35" t="s">
        <v>167</v>
      </c>
      <c r="G165" s="34" t="s">
        <v>291</v>
      </c>
      <c r="H165" s="34" t="s">
        <v>608</v>
      </c>
      <c r="I165" s="71">
        <v>45667</v>
      </c>
      <c r="J165" s="58" t="s">
        <v>433</v>
      </c>
      <c r="K165" s="32" t="s">
        <v>1136</v>
      </c>
      <c r="L165" s="32" t="s">
        <v>1132</v>
      </c>
      <c r="M165" s="32" t="s">
        <v>1133</v>
      </c>
      <c r="N165" s="32" t="s">
        <v>189</v>
      </c>
      <c r="O165" s="41" t="s">
        <v>892</v>
      </c>
      <c r="P165" s="41" t="s">
        <v>892</v>
      </c>
      <c r="Q165" s="93" t="s">
        <v>363</v>
      </c>
      <c r="R165" s="93" t="s">
        <v>363</v>
      </c>
      <c r="S165" s="122" t="s">
        <v>376</v>
      </c>
      <c r="T165" s="55">
        <v>0</v>
      </c>
      <c r="U165" s="55">
        <v>0</v>
      </c>
      <c r="V165" s="55">
        <v>0</v>
      </c>
      <c r="W165" s="55">
        <v>0</v>
      </c>
      <c r="X165" s="55">
        <v>0</v>
      </c>
      <c r="Y165" s="55">
        <v>0</v>
      </c>
      <c r="Z165" s="28">
        <f t="shared" si="47"/>
        <v>0</v>
      </c>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44">
        <f t="shared" si="48"/>
        <v>0</v>
      </c>
      <c r="BQ165" s="44">
        <f>U165-SUM(AS165,AV165,AZ165,BD165,BH165,BL165)</f>
        <v>0</v>
      </c>
      <c r="BR165" s="44">
        <f t="shared" si="50"/>
        <v>0</v>
      </c>
      <c r="BS165" s="44">
        <f t="shared" si="50"/>
        <v>0</v>
      </c>
    </row>
    <row r="166" spans="1:71" s="50" customFormat="1" ht="86.85" customHeight="1" x14ac:dyDescent="0.25">
      <c r="A166" s="36" t="s">
        <v>1102</v>
      </c>
      <c r="B166" s="32" t="s">
        <v>1137</v>
      </c>
      <c r="C166" s="32" t="s">
        <v>1138</v>
      </c>
      <c r="D166" s="30" t="str">
        <f t="shared" si="46"/>
        <v>2.2-4.1</v>
      </c>
      <c r="E166" s="32" t="s">
        <v>1139</v>
      </c>
      <c r="F166" s="35" t="s">
        <v>167</v>
      </c>
      <c r="G166" s="34" t="s">
        <v>291</v>
      </c>
      <c r="H166" s="34" t="s">
        <v>608</v>
      </c>
      <c r="I166" s="71">
        <v>46026</v>
      </c>
      <c r="J166" s="71" t="s">
        <v>1140</v>
      </c>
      <c r="K166" s="42" t="s">
        <v>1141</v>
      </c>
      <c r="L166" s="32" t="s">
        <v>1142</v>
      </c>
      <c r="M166" s="32"/>
      <c r="N166" s="32" t="s">
        <v>1143</v>
      </c>
      <c r="O166" s="41" t="s">
        <v>1144</v>
      </c>
      <c r="P166" s="41" t="s">
        <v>1144</v>
      </c>
      <c r="Q166" s="93" t="s">
        <v>455</v>
      </c>
      <c r="R166" s="93" t="s">
        <v>456</v>
      </c>
      <c r="S166" s="56" t="s">
        <v>376</v>
      </c>
      <c r="T166" s="55">
        <v>0</v>
      </c>
      <c r="U166" s="55">
        <v>0</v>
      </c>
      <c r="V166" s="55">
        <v>0</v>
      </c>
      <c r="W166" s="55">
        <v>0</v>
      </c>
      <c r="X166" s="55">
        <v>0</v>
      </c>
      <c r="Y166" s="55">
        <v>0</v>
      </c>
      <c r="Z166" s="28">
        <f t="shared" si="47"/>
        <v>0</v>
      </c>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44">
        <f t="shared" si="48"/>
        <v>0</v>
      </c>
      <c r="BQ166" s="44">
        <f>U166-SUM(AS166,AV166,AZ166,BD166,BH166,BL166)</f>
        <v>0</v>
      </c>
      <c r="BR166" s="44">
        <f t="shared" si="50"/>
        <v>0</v>
      </c>
      <c r="BS166" s="44">
        <f t="shared" si="50"/>
        <v>0</v>
      </c>
    </row>
    <row r="167" spans="1:71" ht="82.35" customHeight="1" x14ac:dyDescent="0.25">
      <c r="A167" s="36" t="s">
        <v>1102</v>
      </c>
      <c r="B167" s="32" t="s">
        <v>1145</v>
      </c>
      <c r="C167" s="32" t="s">
        <v>1146</v>
      </c>
      <c r="D167" s="30" t="str">
        <f t="shared" si="46"/>
        <v>2.2-5.1</v>
      </c>
      <c r="E167" s="32" t="s">
        <v>1147</v>
      </c>
      <c r="F167" s="35" t="s">
        <v>862</v>
      </c>
      <c r="G167" s="34" t="s">
        <v>291</v>
      </c>
      <c r="H167" s="34" t="s">
        <v>895</v>
      </c>
      <c r="I167" s="71">
        <v>45931</v>
      </c>
      <c r="J167" s="33">
        <v>46295</v>
      </c>
      <c r="K167" s="32" t="s">
        <v>1148</v>
      </c>
      <c r="L167" s="32" t="s">
        <v>1148</v>
      </c>
      <c r="M167" s="32" t="s">
        <v>1149</v>
      </c>
      <c r="N167" s="32" t="s">
        <v>1150</v>
      </c>
      <c r="O167" s="30" t="s">
        <v>903</v>
      </c>
      <c r="P167" s="30" t="s">
        <v>903</v>
      </c>
      <c r="Q167" s="93" t="s">
        <v>1151</v>
      </c>
      <c r="R167" s="93" t="s">
        <v>1151</v>
      </c>
      <c r="S167" s="189" t="s">
        <v>1152</v>
      </c>
      <c r="T167" s="48">
        <v>252981300</v>
      </c>
      <c r="U167" s="48">
        <v>252981300</v>
      </c>
      <c r="V167" s="48">
        <v>505962600</v>
      </c>
      <c r="W167" s="48">
        <v>90000000</v>
      </c>
      <c r="X167" s="48">
        <v>90000000</v>
      </c>
      <c r="Y167" s="48"/>
      <c r="Z167" s="28">
        <f t="shared" si="47"/>
        <v>1191925200</v>
      </c>
      <c r="AA167" s="80">
        <f>INT($T$167/12)*2</f>
        <v>42163550</v>
      </c>
      <c r="AB167" s="80">
        <f>INT($W$167/12)</f>
        <v>7500000</v>
      </c>
      <c r="AC167" s="80">
        <f>INT($X$167/12)</f>
        <v>7500000</v>
      </c>
      <c r="AD167" s="80">
        <v>42163550</v>
      </c>
      <c r="AE167" s="80">
        <f>INT($W$167/12)</f>
        <v>7500000</v>
      </c>
      <c r="AF167" s="80">
        <f>INT($X$167/12)</f>
        <v>7500000</v>
      </c>
      <c r="AG167" s="80">
        <v>42163550</v>
      </c>
      <c r="AH167" s="80">
        <f>INT($W$167/12)</f>
        <v>7500000</v>
      </c>
      <c r="AI167" s="80">
        <f>INT($X$167/12)</f>
        <v>7500000</v>
      </c>
      <c r="AJ167" s="80">
        <v>42163550</v>
      </c>
      <c r="AK167" s="80">
        <f>INT($W$167/12)</f>
        <v>7500000</v>
      </c>
      <c r="AL167" s="80">
        <f>INT($X$167/12)</f>
        <v>7500000</v>
      </c>
      <c r="AM167" s="80">
        <v>42163550</v>
      </c>
      <c r="AN167" s="80">
        <f>INT($W$167/12)</f>
        <v>7500000</v>
      </c>
      <c r="AO167" s="80">
        <f>INT($X$167/12)</f>
        <v>7500000</v>
      </c>
      <c r="AP167" s="80">
        <v>42163550</v>
      </c>
      <c r="AQ167" s="80">
        <f>INT($W$167/12)</f>
        <v>7500000</v>
      </c>
      <c r="AR167" s="80">
        <f>INT($X$167/12)</f>
        <v>7500000</v>
      </c>
      <c r="AS167" s="80"/>
      <c r="AT167" s="80"/>
      <c r="AU167" s="80"/>
      <c r="AV167" s="46">
        <v>84327100</v>
      </c>
      <c r="AW167" s="46">
        <v>15000000</v>
      </c>
      <c r="AX167" s="46">
        <v>15000000</v>
      </c>
      <c r="AY167" s="80"/>
      <c r="AZ167" s="46">
        <v>42163550</v>
      </c>
      <c r="BA167" s="46">
        <v>7500000</v>
      </c>
      <c r="BB167" s="46">
        <v>7500000</v>
      </c>
      <c r="BC167" s="80"/>
      <c r="BD167" s="46">
        <v>42163550</v>
      </c>
      <c r="BE167" s="46">
        <v>7500000</v>
      </c>
      <c r="BF167" s="46">
        <v>7500000</v>
      </c>
      <c r="BG167" s="80"/>
      <c r="BH167" s="46">
        <v>42163550</v>
      </c>
      <c r="BI167" s="46">
        <v>7500000</v>
      </c>
      <c r="BJ167" s="46">
        <v>7500000</v>
      </c>
      <c r="BK167" s="80"/>
      <c r="BL167" s="46">
        <v>42163550</v>
      </c>
      <c r="BM167" s="46">
        <v>7500000</v>
      </c>
      <c r="BN167" s="46">
        <v>7500000</v>
      </c>
      <c r="BO167" s="80"/>
      <c r="BP167" s="44">
        <f t="shared" si="48"/>
        <v>0</v>
      </c>
      <c r="BQ167" s="44">
        <f>U167-SUM(AS167,AV167,AZ167,BD167,BH167,BL167)</f>
        <v>0</v>
      </c>
      <c r="BR167" s="44">
        <f t="shared" si="50"/>
        <v>0</v>
      </c>
      <c r="BS167" s="44">
        <f t="shared" si="50"/>
        <v>0</v>
      </c>
    </row>
    <row r="168" spans="1:71" ht="82.35" customHeight="1" x14ac:dyDescent="0.25">
      <c r="A168" s="36" t="s">
        <v>1102</v>
      </c>
      <c r="B168" s="32" t="s">
        <v>1145</v>
      </c>
      <c r="C168" s="32" t="s">
        <v>1146</v>
      </c>
      <c r="D168" s="30" t="str">
        <f t="shared" si="46"/>
        <v>2.2-5.2</v>
      </c>
      <c r="E168" s="32" t="s">
        <v>1153</v>
      </c>
      <c r="F168" s="35" t="s">
        <v>167</v>
      </c>
      <c r="G168" s="34" t="s">
        <v>291</v>
      </c>
      <c r="H168" s="34" t="s">
        <v>608</v>
      </c>
      <c r="I168" s="71">
        <v>46143</v>
      </c>
      <c r="J168" s="33">
        <v>46272</v>
      </c>
      <c r="K168" s="32" t="s">
        <v>1154</v>
      </c>
      <c r="L168" s="32" t="s">
        <v>1148</v>
      </c>
      <c r="M168" s="32"/>
      <c r="N168" s="32" t="s">
        <v>1150</v>
      </c>
      <c r="O168" s="30" t="s">
        <v>1155</v>
      </c>
      <c r="P168" s="30" t="s">
        <v>903</v>
      </c>
      <c r="Q168" s="93" t="s">
        <v>363</v>
      </c>
      <c r="R168" s="93" t="s">
        <v>363</v>
      </c>
      <c r="S168" s="189" t="s">
        <v>376</v>
      </c>
      <c r="T168" s="55">
        <v>0</v>
      </c>
      <c r="U168" s="55">
        <v>0</v>
      </c>
      <c r="V168" s="55">
        <v>0</v>
      </c>
      <c r="W168" s="55">
        <v>0</v>
      </c>
      <c r="X168" s="55">
        <v>0</v>
      </c>
      <c r="Y168" s="55">
        <v>0</v>
      </c>
      <c r="Z168" s="28">
        <f t="shared" si="47"/>
        <v>0</v>
      </c>
      <c r="AA168" s="80"/>
      <c r="AB168" s="80"/>
      <c r="AC168" s="80"/>
      <c r="AD168" s="80"/>
      <c r="AE168" s="80"/>
      <c r="AF168" s="80"/>
      <c r="AG168" s="80"/>
      <c r="AH168" s="80"/>
      <c r="AI168" s="80"/>
      <c r="AJ168" s="80"/>
      <c r="AK168" s="80"/>
      <c r="AL168" s="80"/>
      <c r="AM168" s="80"/>
      <c r="AN168" s="80"/>
      <c r="AO168" s="80"/>
      <c r="AP168" s="80"/>
      <c r="AQ168" s="80"/>
      <c r="AR168" s="80"/>
      <c r="AS168" s="80"/>
      <c r="AT168" s="80"/>
      <c r="AU168" s="80"/>
      <c r="AV168" s="80"/>
      <c r="AW168" s="80"/>
      <c r="AX168" s="80"/>
      <c r="AY168" s="80"/>
      <c r="AZ168" s="80"/>
      <c r="BA168" s="80"/>
      <c r="BB168" s="80"/>
      <c r="BC168" s="80"/>
      <c r="BD168" s="80"/>
      <c r="BE168" s="80"/>
      <c r="BF168" s="80"/>
      <c r="BG168" s="80"/>
      <c r="BH168" s="80"/>
      <c r="BI168" s="80"/>
      <c r="BJ168" s="80"/>
      <c r="BK168" s="80"/>
      <c r="BL168" s="80"/>
      <c r="BM168" s="80"/>
      <c r="BN168" s="80"/>
      <c r="BO168" s="80"/>
      <c r="BP168" s="44"/>
      <c r="BQ168" s="44"/>
      <c r="BR168" s="44"/>
      <c r="BS168" s="44"/>
    </row>
    <row r="169" spans="1:71" ht="82.35" customHeight="1" x14ac:dyDescent="0.25">
      <c r="A169" s="36" t="s">
        <v>1102</v>
      </c>
      <c r="B169" s="32" t="s">
        <v>1145</v>
      </c>
      <c r="C169" s="32" t="s">
        <v>1146</v>
      </c>
      <c r="D169" s="30" t="str">
        <f t="shared" si="46"/>
        <v>2.2-5.3</v>
      </c>
      <c r="E169" s="32" t="s">
        <v>1156</v>
      </c>
      <c r="F169" s="35" t="s">
        <v>167</v>
      </c>
      <c r="G169" s="34" t="s">
        <v>291</v>
      </c>
      <c r="H169" s="34" t="s">
        <v>608</v>
      </c>
      <c r="I169" s="71">
        <v>46143</v>
      </c>
      <c r="J169" s="33">
        <v>46272</v>
      </c>
      <c r="K169" s="32"/>
      <c r="L169" s="32" t="s">
        <v>1148</v>
      </c>
      <c r="M169" s="32"/>
      <c r="N169" s="32" t="s">
        <v>1150</v>
      </c>
      <c r="O169" s="30" t="s">
        <v>472</v>
      </c>
      <c r="P169" s="30" t="s">
        <v>903</v>
      </c>
      <c r="Q169" s="93" t="s">
        <v>363</v>
      </c>
      <c r="R169" s="93" t="s">
        <v>363</v>
      </c>
      <c r="S169" s="189" t="s">
        <v>376</v>
      </c>
      <c r="T169" s="55">
        <v>0</v>
      </c>
      <c r="U169" s="55">
        <v>0</v>
      </c>
      <c r="V169" s="55">
        <v>0</v>
      </c>
      <c r="W169" s="55">
        <v>0</v>
      </c>
      <c r="X169" s="55">
        <v>0</v>
      </c>
      <c r="Y169" s="55">
        <v>0</v>
      </c>
      <c r="Z169" s="28">
        <f t="shared" si="47"/>
        <v>0</v>
      </c>
      <c r="AA169" s="80"/>
      <c r="AB169" s="80"/>
      <c r="AC169" s="80"/>
      <c r="AD169" s="80"/>
      <c r="AE169" s="80"/>
      <c r="AF169" s="80"/>
      <c r="AG169" s="80"/>
      <c r="AH169" s="80"/>
      <c r="AI169" s="80"/>
      <c r="AJ169" s="80"/>
      <c r="AK169" s="80"/>
      <c r="AL169" s="80"/>
      <c r="AM169" s="80"/>
      <c r="AN169" s="80"/>
      <c r="AO169" s="80"/>
      <c r="AP169" s="80"/>
      <c r="AQ169" s="80"/>
      <c r="AR169" s="80"/>
      <c r="AS169" s="80"/>
      <c r="AT169" s="80"/>
      <c r="AU169" s="80"/>
      <c r="AV169" s="80"/>
      <c r="AW169" s="80"/>
      <c r="AX169" s="80"/>
      <c r="AY169" s="80"/>
      <c r="AZ169" s="80"/>
      <c r="BA169" s="80"/>
      <c r="BB169" s="80"/>
      <c r="BC169" s="80"/>
      <c r="BD169" s="80"/>
      <c r="BE169" s="80"/>
      <c r="BF169" s="80"/>
      <c r="BG169" s="80"/>
      <c r="BH169" s="80"/>
      <c r="BI169" s="80"/>
      <c r="BJ169" s="80"/>
      <c r="BK169" s="80"/>
      <c r="BL169" s="80"/>
      <c r="BM169" s="80"/>
      <c r="BN169" s="80"/>
      <c r="BO169" s="80"/>
      <c r="BP169" s="44"/>
      <c r="BQ169" s="44"/>
      <c r="BR169" s="44"/>
      <c r="BS169" s="44"/>
    </row>
    <row r="170" spans="1:71" ht="82.35" customHeight="1" x14ac:dyDescent="0.25">
      <c r="A170" s="36" t="s">
        <v>1102</v>
      </c>
      <c r="B170" s="32" t="s">
        <v>1145</v>
      </c>
      <c r="C170" s="32" t="s">
        <v>1146</v>
      </c>
      <c r="D170" s="30" t="str">
        <f t="shared" si="46"/>
        <v>2.2-5.4</v>
      </c>
      <c r="E170" s="32" t="s">
        <v>1157</v>
      </c>
      <c r="F170" s="35" t="s">
        <v>167</v>
      </c>
      <c r="G170" s="34" t="s">
        <v>291</v>
      </c>
      <c r="H170" s="34" t="s">
        <v>608</v>
      </c>
      <c r="I170" s="71">
        <v>46143</v>
      </c>
      <c r="J170" s="33">
        <v>46295</v>
      </c>
      <c r="K170" s="32"/>
      <c r="L170" s="32" t="s">
        <v>1148</v>
      </c>
      <c r="M170" s="32"/>
      <c r="N170" s="32" t="s">
        <v>1150</v>
      </c>
      <c r="O170" s="30" t="s">
        <v>1158</v>
      </c>
      <c r="P170" s="30" t="s">
        <v>903</v>
      </c>
      <c r="Q170" s="93" t="s">
        <v>363</v>
      </c>
      <c r="R170" s="93" t="s">
        <v>363</v>
      </c>
      <c r="S170" s="189" t="s">
        <v>376</v>
      </c>
      <c r="T170" s="55">
        <v>0</v>
      </c>
      <c r="U170" s="55">
        <v>0</v>
      </c>
      <c r="V170" s="55">
        <v>0</v>
      </c>
      <c r="W170" s="55">
        <v>0</v>
      </c>
      <c r="X170" s="55">
        <v>0</v>
      </c>
      <c r="Y170" s="55">
        <v>0</v>
      </c>
      <c r="Z170" s="28">
        <f t="shared" si="47"/>
        <v>0</v>
      </c>
      <c r="AA170" s="80"/>
      <c r="AB170" s="80"/>
      <c r="AC170" s="80"/>
      <c r="AD170" s="80"/>
      <c r="AE170" s="80"/>
      <c r="AF170" s="80"/>
      <c r="AG170" s="80"/>
      <c r="AH170" s="80"/>
      <c r="AI170" s="80"/>
      <c r="AJ170" s="80"/>
      <c r="AK170" s="8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80"/>
      <c r="BK170" s="80"/>
      <c r="BL170" s="80"/>
      <c r="BM170" s="80"/>
      <c r="BN170" s="80"/>
      <c r="BO170" s="80"/>
      <c r="BP170" s="44"/>
      <c r="BQ170" s="44"/>
      <c r="BR170" s="44"/>
      <c r="BS170" s="44"/>
    </row>
    <row r="171" spans="1:71" ht="82.35" customHeight="1" x14ac:dyDescent="0.25">
      <c r="A171" s="36" t="s">
        <v>1102</v>
      </c>
      <c r="B171" s="32" t="s">
        <v>1145</v>
      </c>
      <c r="C171" s="32" t="s">
        <v>1146</v>
      </c>
      <c r="D171" s="30" t="str">
        <f t="shared" si="46"/>
        <v>2.2-5.5</v>
      </c>
      <c r="E171" s="32" t="s">
        <v>1159</v>
      </c>
      <c r="F171" s="35" t="s">
        <v>167</v>
      </c>
      <c r="G171" s="34" t="s">
        <v>291</v>
      </c>
      <c r="H171" s="34" t="s">
        <v>608</v>
      </c>
      <c r="I171" s="71">
        <v>46143</v>
      </c>
      <c r="J171" s="33">
        <v>46295</v>
      </c>
      <c r="K171" s="32"/>
      <c r="L171" s="32" t="s">
        <v>1148</v>
      </c>
      <c r="M171" s="32"/>
      <c r="N171" s="32" t="s">
        <v>1150</v>
      </c>
      <c r="O171" s="30" t="s">
        <v>1160</v>
      </c>
      <c r="P171" s="30" t="s">
        <v>903</v>
      </c>
      <c r="Q171" s="93" t="s">
        <v>363</v>
      </c>
      <c r="R171" s="93" t="s">
        <v>466</v>
      </c>
      <c r="S171" s="30" t="s">
        <v>1161</v>
      </c>
      <c r="T171" s="48"/>
      <c r="U171" s="48"/>
      <c r="V171" s="48">
        <v>0</v>
      </c>
      <c r="W171" s="48"/>
      <c r="X171" s="48"/>
      <c r="Y171" s="48">
        <v>911053.12</v>
      </c>
      <c r="Z171" s="28">
        <f t="shared" si="47"/>
        <v>911053.12</v>
      </c>
      <c r="AA171" s="80"/>
      <c r="AB171" s="80"/>
      <c r="AC171" s="80"/>
      <c r="AD171" s="80"/>
      <c r="AE171" s="80"/>
      <c r="AF171" s="80"/>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46">
        <v>911053.12</v>
      </c>
      <c r="BL171" s="80"/>
      <c r="BM171" s="80"/>
      <c r="BN171" s="80"/>
      <c r="BO171" s="80"/>
      <c r="BP171" s="44"/>
      <c r="BQ171" s="44"/>
      <c r="BR171" s="44"/>
      <c r="BS171" s="44"/>
    </row>
    <row r="172" spans="1:71" ht="82.35" customHeight="1" x14ac:dyDescent="0.25">
      <c r="A172" s="36" t="s">
        <v>1102</v>
      </c>
      <c r="B172" s="32" t="s">
        <v>1145</v>
      </c>
      <c r="C172" s="32" t="s">
        <v>1146</v>
      </c>
      <c r="D172" s="30" t="str">
        <f t="shared" si="46"/>
        <v>2.2-5.6</v>
      </c>
      <c r="E172" s="42" t="s">
        <v>1162</v>
      </c>
      <c r="F172" s="35" t="s">
        <v>167</v>
      </c>
      <c r="G172" s="34" t="s">
        <v>291</v>
      </c>
      <c r="H172" s="34" t="s">
        <v>608</v>
      </c>
      <c r="I172" s="71">
        <v>46143</v>
      </c>
      <c r="J172" s="33">
        <v>46295</v>
      </c>
      <c r="K172" s="32" t="s">
        <v>1163</v>
      </c>
      <c r="L172" s="32" t="s">
        <v>1148</v>
      </c>
      <c r="M172" s="32"/>
      <c r="N172" s="32" t="s">
        <v>1150</v>
      </c>
      <c r="O172" s="30" t="s">
        <v>1164</v>
      </c>
      <c r="P172" s="30" t="s">
        <v>903</v>
      </c>
      <c r="Q172" s="93" t="s">
        <v>363</v>
      </c>
      <c r="R172" s="93" t="s">
        <v>363</v>
      </c>
      <c r="S172" s="30" t="s">
        <v>376</v>
      </c>
      <c r="T172" s="55">
        <v>0</v>
      </c>
      <c r="U172" s="55">
        <v>0</v>
      </c>
      <c r="V172" s="55">
        <v>0</v>
      </c>
      <c r="W172" s="55">
        <v>0</v>
      </c>
      <c r="X172" s="55">
        <v>0</v>
      </c>
      <c r="Y172" s="55">
        <v>0</v>
      </c>
      <c r="Z172" s="28">
        <f t="shared" si="47"/>
        <v>0</v>
      </c>
      <c r="AA172" s="80"/>
      <c r="AB172" s="80"/>
      <c r="AC172" s="80"/>
      <c r="AD172" s="80"/>
      <c r="AE172" s="80"/>
      <c r="AF172" s="80"/>
      <c r="AG172" s="80"/>
      <c r="AH172" s="80"/>
      <c r="AI172" s="80"/>
      <c r="AJ172" s="80"/>
      <c r="AK172" s="80"/>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c r="BN172" s="80"/>
      <c r="BO172" s="80"/>
      <c r="BP172" s="44"/>
      <c r="BQ172" s="44"/>
      <c r="BR172" s="44"/>
      <c r="BS172" s="44"/>
    </row>
    <row r="173" spans="1:71" ht="86.1" customHeight="1" x14ac:dyDescent="0.25">
      <c r="A173" s="36" t="s">
        <v>1102</v>
      </c>
      <c r="B173" s="32" t="s">
        <v>1145</v>
      </c>
      <c r="C173" s="32" t="s">
        <v>1146</v>
      </c>
      <c r="D173" s="30" t="str">
        <f t="shared" si="46"/>
        <v>2.2-5.7</v>
      </c>
      <c r="E173" s="32" t="s">
        <v>1165</v>
      </c>
      <c r="F173" s="35" t="s">
        <v>167</v>
      </c>
      <c r="G173" s="34" t="s">
        <v>291</v>
      </c>
      <c r="H173" s="34" t="s">
        <v>608</v>
      </c>
      <c r="I173" s="71">
        <v>46143</v>
      </c>
      <c r="J173" s="33">
        <v>46295</v>
      </c>
      <c r="K173" s="32"/>
      <c r="L173" s="32" t="s">
        <v>1148</v>
      </c>
      <c r="M173" s="32"/>
      <c r="N173" s="32" t="s">
        <v>1150</v>
      </c>
      <c r="O173" s="30"/>
      <c r="P173" s="30" t="s">
        <v>903</v>
      </c>
      <c r="Q173" s="93" t="s">
        <v>363</v>
      </c>
      <c r="R173" s="93" t="s">
        <v>363</v>
      </c>
      <c r="S173" s="30" t="s">
        <v>376</v>
      </c>
      <c r="T173" s="55">
        <v>0</v>
      </c>
      <c r="U173" s="55">
        <v>0</v>
      </c>
      <c r="V173" s="55">
        <v>0</v>
      </c>
      <c r="W173" s="55">
        <v>0</v>
      </c>
      <c r="X173" s="55">
        <v>0</v>
      </c>
      <c r="Y173" s="55">
        <v>0</v>
      </c>
      <c r="Z173" s="28">
        <f t="shared" si="47"/>
        <v>0</v>
      </c>
      <c r="AA173" s="80"/>
      <c r="AB173" s="80"/>
      <c r="AC173" s="80"/>
      <c r="AD173" s="80"/>
      <c r="AE173" s="80"/>
      <c r="AF173" s="80"/>
      <c r="AG173" s="80"/>
      <c r="AH173" s="80"/>
      <c r="AI173" s="80"/>
      <c r="AJ173" s="80"/>
      <c r="AK173" s="80"/>
      <c r="AL173" s="80"/>
      <c r="AM173" s="80"/>
      <c r="AN173" s="80"/>
      <c r="AO173" s="80"/>
      <c r="AP173" s="80"/>
      <c r="AQ173" s="80"/>
      <c r="AR173" s="80"/>
      <c r="AS173" s="80"/>
      <c r="AT173" s="80"/>
      <c r="AU173" s="80"/>
      <c r="AV173" s="80"/>
      <c r="AW173" s="80"/>
      <c r="AX173" s="80"/>
      <c r="AY173" s="80"/>
      <c r="AZ173" s="80"/>
      <c r="BA173" s="80"/>
      <c r="BB173" s="80"/>
      <c r="BC173" s="80"/>
      <c r="BD173" s="80"/>
      <c r="BE173" s="80"/>
      <c r="BF173" s="80"/>
      <c r="BG173" s="80"/>
      <c r="BH173" s="80"/>
      <c r="BI173" s="80"/>
      <c r="BJ173" s="80"/>
      <c r="BK173" s="80"/>
      <c r="BL173" s="80"/>
      <c r="BM173" s="80"/>
      <c r="BN173" s="80"/>
      <c r="BO173" s="80"/>
      <c r="BP173" s="44"/>
      <c r="BQ173" s="44"/>
      <c r="BR173" s="44"/>
      <c r="BS173" s="44"/>
    </row>
    <row r="174" spans="1:71" ht="86.1" customHeight="1" x14ac:dyDescent="0.25">
      <c r="A174" s="36" t="s">
        <v>1102</v>
      </c>
      <c r="B174" s="32" t="s">
        <v>1145</v>
      </c>
      <c r="C174" s="32" t="s">
        <v>1146</v>
      </c>
      <c r="D174" s="30" t="str">
        <f t="shared" si="46"/>
        <v>2.2-5.8</v>
      </c>
      <c r="E174" s="32" t="s">
        <v>1166</v>
      </c>
      <c r="F174" s="35" t="s">
        <v>167</v>
      </c>
      <c r="G174" s="34" t="s">
        <v>291</v>
      </c>
      <c r="H174" s="34" t="s">
        <v>608</v>
      </c>
      <c r="I174" s="71">
        <v>46143</v>
      </c>
      <c r="J174" s="33">
        <v>46295</v>
      </c>
      <c r="K174" s="32"/>
      <c r="L174" s="32" t="s">
        <v>1148</v>
      </c>
      <c r="M174" s="32"/>
      <c r="N174" s="32" t="s">
        <v>1150</v>
      </c>
      <c r="O174" s="30"/>
      <c r="P174" s="30" t="s">
        <v>903</v>
      </c>
      <c r="Q174" s="93" t="s">
        <v>363</v>
      </c>
      <c r="R174" s="93" t="s">
        <v>363</v>
      </c>
      <c r="S174" s="30" t="s">
        <v>1167</v>
      </c>
      <c r="T174" s="48"/>
      <c r="U174" s="48"/>
      <c r="V174" s="48">
        <v>0</v>
      </c>
      <c r="W174" s="48"/>
      <c r="X174" s="48"/>
      <c r="Y174" s="48">
        <v>15000000</v>
      </c>
      <c r="Z174" s="28">
        <f t="shared" si="47"/>
        <v>15000000</v>
      </c>
      <c r="AA174" s="80"/>
      <c r="AB174" s="80"/>
      <c r="AC174" s="80"/>
      <c r="AD174" s="80"/>
      <c r="AE174" s="80"/>
      <c r="AF174" s="80"/>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c r="BI174" s="80"/>
      <c r="BJ174" s="80"/>
      <c r="BK174" s="80"/>
      <c r="BL174" s="80"/>
      <c r="BM174" s="80"/>
      <c r="BN174" s="80"/>
      <c r="BO174" s="80"/>
      <c r="BP174" s="44"/>
      <c r="BQ174" s="44"/>
      <c r="BR174" s="44"/>
      <c r="BS174" s="44"/>
    </row>
    <row r="175" spans="1:71" s="50" customFormat="1" ht="86.45" customHeight="1" x14ac:dyDescent="0.25">
      <c r="A175" s="36" t="s">
        <v>1102</v>
      </c>
      <c r="B175" s="32" t="s">
        <v>1168</v>
      </c>
      <c r="C175" s="32" t="s">
        <v>1169</v>
      </c>
      <c r="D175" s="30" t="str">
        <f t="shared" ref="D175:D206" si="51">TRIM(_xlfn.TEXTBEFORE(E175,":"))</f>
        <v>2.2-6.1</v>
      </c>
      <c r="E175" s="32" t="s">
        <v>1170</v>
      </c>
      <c r="F175" s="39" t="s">
        <v>229</v>
      </c>
      <c r="G175" s="117" t="s">
        <v>291</v>
      </c>
      <c r="H175" s="64" t="s">
        <v>608</v>
      </c>
      <c r="I175" s="71">
        <v>46023</v>
      </c>
      <c r="J175" s="58">
        <v>46112</v>
      </c>
      <c r="K175" s="32"/>
      <c r="L175" s="32"/>
      <c r="M175" s="32"/>
      <c r="N175" s="32"/>
      <c r="O175" s="41" t="s">
        <v>1171</v>
      </c>
      <c r="P175" s="41" t="s">
        <v>1172</v>
      </c>
      <c r="Q175" s="41" t="s">
        <v>516</v>
      </c>
      <c r="R175" s="41" t="s">
        <v>516</v>
      </c>
      <c r="S175" s="121" t="s">
        <v>1173</v>
      </c>
      <c r="T175" s="119">
        <v>1500000</v>
      </c>
      <c r="U175" s="119"/>
      <c r="V175" s="119">
        <v>1500000</v>
      </c>
      <c r="W175" s="119">
        <v>0</v>
      </c>
      <c r="X175" s="119"/>
      <c r="Y175" s="119"/>
      <c r="Z175" s="28">
        <f t="shared" ref="Z175:Z206" si="52">SUM(T175:Y175)</f>
        <v>3000000</v>
      </c>
      <c r="AA175" s="51"/>
      <c r="AB175" s="51"/>
      <c r="AC175" s="51"/>
      <c r="AD175" s="120">
        <f>T175</f>
        <v>1500000</v>
      </c>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44">
        <f t="shared" ref="BP175:BP186" si="53">T175-SUM(AA175,AD175,AG175,AJ175,AM175,AP175)</f>
        <v>0</v>
      </c>
      <c r="BQ175" s="44">
        <f t="shared" ref="BQ175:BQ186" si="54">U175-SUM(AS175,AV175,AZ175,BD175,BH175,BL175)</f>
        <v>0</v>
      </c>
      <c r="BR175" s="44">
        <f t="shared" ref="BR175:BR186" si="55">W175-SUM(AB175,AE175,AH175,AK175,AN175,AQ175,AT175,AW175,BA175,BE175,BI175,BM175)</f>
        <v>0</v>
      </c>
      <c r="BS175" s="44">
        <f t="shared" ref="BS175:BS186" si="56">X175-SUM(AC175,AF175,AI175,AL175,AO175,AR175,AU175,AX175,BB175,BF175,BJ175,BN175)</f>
        <v>0</v>
      </c>
    </row>
    <row r="176" spans="1:71" s="50" customFormat="1" ht="86.45" customHeight="1" x14ac:dyDescent="0.25">
      <c r="A176" s="36" t="s">
        <v>1102</v>
      </c>
      <c r="B176" s="32" t="s">
        <v>1168</v>
      </c>
      <c r="C176" s="32" t="s">
        <v>1169</v>
      </c>
      <c r="D176" s="35" t="str">
        <f t="shared" si="51"/>
        <v>2.2-6.2</v>
      </c>
      <c r="E176" s="32" t="s">
        <v>1174</v>
      </c>
      <c r="F176" s="39" t="s">
        <v>229</v>
      </c>
      <c r="G176" s="117" t="s">
        <v>291</v>
      </c>
      <c r="H176" s="64" t="s">
        <v>608</v>
      </c>
      <c r="I176" s="71">
        <v>46023</v>
      </c>
      <c r="J176" s="71">
        <v>46111</v>
      </c>
      <c r="K176" s="32"/>
      <c r="L176" s="32"/>
      <c r="M176" s="32"/>
      <c r="N176" s="32"/>
      <c r="O176" s="41" t="s">
        <v>1175</v>
      </c>
      <c r="P176" s="41" t="s">
        <v>1172</v>
      </c>
      <c r="Q176" s="41" t="s">
        <v>516</v>
      </c>
      <c r="R176" s="41" t="s">
        <v>516</v>
      </c>
      <c r="S176" s="56" t="s">
        <v>376</v>
      </c>
      <c r="T176" s="55">
        <v>0</v>
      </c>
      <c r="U176" s="55">
        <v>0</v>
      </c>
      <c r="V176" s="55">
        <v>0</v>
      </c>
      <c r="W176" s="55">
        <v>0</v>
      </c>
      <c r="X176" s="55">
        <v>0</v>
      </c>
      <c r="Y176" s="55">
        <v>0</v>
      </c>
      <c r="Z176" s="28">
        <f t="shared" si="52"/>
        <v>0</v>
      </c>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44">
        <f t="shared" si="53"/>
        <v>0</v>
      </c>
      <c r="BQ176" s="44">
        <f t="shared" si="54"/>
        <v>0</v>
      </c>
      <c r="BR176" s="44">
        <f t="shared" si="55"/>
        <v>0</v>
      </c>
      <c r="BS176" s="44">
        <f t="shared" si="56"/>
        <v>0</v>
      </c>
    </row>
    <row r="177" spans="1:71" s="50" customFormat="1" ht="86.45" customHeight="1" x14ac:dyDescent="0.25">
      <c r="A177" s="36" t="s">
        <v>1102</v>
      </c>
      <c r="B177" s="32" t="s">
        <v>1168</v>
      </c>
      <c r="C177" s="32" t="s">
        <v>1169</v>
      </c>
      <c r="D177" s="35" t="str">
        <f t="shared" si="51"/>
        <v>2.2-6.3</v>
      </c>
      <c r="E177" s="32" t="s">
        <v>1176</v>
      </c>
      <c r="F177" s="39" t="s">
        <v>229</v>
      </c>
      <c r="G177" s="117" t="s">
        <v>291</v>
      </c>
      <c r="H177" s="64" t="s">
        <v>608</v>
      </c>
      <c r="I177" s="71">
        <v>46023</v>
      </c>
      <c r="J177" s="71">
        <v>46111</v>
      </c>
      <c r="K177" s="32"/>
      <c r="L177" s="32"/>
      <c r="M177" s="32"/>
      <c r="N177" s="32"/>
      <c r="O177" s="41" t="s">
        <v>1177</v>
      </c>
      <c r="P177" s="41" t="s">
        <v>1172</v>
      </c>
      <c r="Q177" s="41" t="s">
        <v>516</v>
      </c>
      <c r="R177" s="41" t="s">
        <v>516</v>
      </c>
      <c r="S177" s="56" t="s">
        <v>376</v>
      </c>
      <c r="T177" s="55">
        <v>0</v>
      </c>
      <c r="U177" s="55">
        <v>0</v>
      </c>
      <c r="V177" s="55">
        <v>0</v>
      </c>
      <c r="W177" s="55">
        <v>0</v>
      </c>
      <c r="X177" s="55">
        <v>0</v>
      </c>
      <c r="Y177" s="55">
        <v>0</v>
      </c>
      <c r="Z177" s="28">
        <f t="shared" si="52"/>
        <v>0</v>
      </c>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44">
        <f t="shared" si="53"/>
        <v>0</v>
      </c>
      <c r="BQ177" s="44">
        <f t="shared" si="54"/>
        <v>0</v>
      </c>
      <c r="BR177" s="44">
        <f t="shared" si="55"/>
        <v>0</v>
      </c>
      <c r="BS177" s="44">
        <f t="shared" si="56"/>
        <v>0</v>
      </c>
    </row>
    <row r="178" spans="1:71" s="50" customFormat="1" ht="86.45" customHeight="1" x14ac:dyDescent="0.25">
      <c r="A178" s="36" t="s">
        <v>1102</v>
      </c>
      <c r="B178" s="32" t="s">
        <v>1168</v>
      </c>
      <c r="C178" s="32" t="s">
        <v>1169</v>
      </c>
      <c r="D178" s="35" t="str">
        <f t="shared" si="51"/>
        <v>2.2-6.4</v>
      </c>
      <c r="E178" s="32" t="s">
        <v>1178</v>
      </c>
      <c r="F178" s="39" t="s">
        <v>229</v>
      </c>
      <c r="G178" s="117" t="s">
        <v>291</v>
      </c>
      <c r="H178" s="64" t="s">
        <v>608</v>
      </c>
      <c r="I178" s="71">
        <v>46023</v>
      </c>
      <c r="J178" s="71">
        <v>46111</v>
      </c>
      <c r="K178" s="32"/>
      <c r="L178" s="32"/>
      <c r="M178" s="32"/>
      <c r="N178" s="32"/>
      <c r="O178" s="41" t="s">
        <v>1175</v>
      </c>
      <c r="P178" s="41" t="s">
        <v>1172</v>
      </c>
      <c r="Q178" s="41" t="s">
        <v>516</v>
      </c>
      <c r="R178" s="41" t="s">
        <v>516</v>
      </c>
      <c r="S178" s="56" t="s">
        <v>376</v>
      </c>
      <c r="T178" s="55">
        <v>0</v>
      </c>
      <c r="U178" s="55">
        <v>0</v>
      </c>
      <c r="V178" s="55">
        <v>0</v>
      </c>
      <c r="W178" s="55">
        <v>0</v>
      </c>
      <c r="X178" s="55">
        <v>0</v>
      </c>
      <c r="Y178" s="55">
        <v>0</v>
      </c>
      <c r="Z178" s="28">
        <f t="shared" si="52"/>
        <v>0</v>
      </c>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44">
        <f t="shared" si="53"/>
        <v>0</v>
      </c>
      <c r="BQ178" s="44">
        <f t="shared" si="54"/>
        <v>0</v>
      </c>
      <c r="BR178" s="44">
        <f t="shared" si="55"/>
        <v>0</v>
      </c>
      <c r="BS178" s="44">
        <f t="shared" si="56"/>
        <v>0</v>
      </c>
    </row>
    <row r="179" spans="1:71" s="50" customFormat="1" ht="86.45" customHeight="1" x14ac:dyDescent="0.25">
      <c r="A179" s="36" t="s">
        <v>1102</v>
      </c>
      <c r="B179" s="32" t="s">
        <v>1168</v>
      </c>
      <c r="C179" s="32" t="s">
        <v>1169</v>
      </c>
      <c r="D179" s="35" t="str">
        <f t="shared" si="51"/>
        <v>2.2-6.5</v>
      </c>
      <c r="E179" s="32" t="s">
        <v>1179</v>
      </c>
      <c r="F179" s="39" t="s">
        <v>229</v>
      </c>
      <c r="G179" s="117" t="s">
        <v>291</v>
      </c>
      <c r="H179" s="64" t="s">
        <v>608</v>
      </c>
      <c r="I179" s="71">
        <v>46023</v>
      </c>
      <c r="J179" s="71">
        <v>46111</v>
      </c>
      <c r="K179" s="32"/>
      <c r="L179" s="32"/>
      <c r="M179" s="32"/>
      <c r="N179" s="32"/>
      <c r="O179" s="41" t="s">
        <v>1175</v>
      </c>
      <c r="P179" s="41" t="s">
        <v>1172</v>
      </c>
      <c r="Q179" s="41" t="s">
        <v>363</v>
      </c>
      <c r="R179" s="41" t="s">
        <v>363</v>
      </c>
      <c r="S179" s="56" t="s">
        <v>376</v>
      </c>
      <c r="T179" s="55">
        <v>0</v>
      </c>
      <c r="U179" s="55">
        <v>0</v>
      </c>
      <c r="V179" s="55">
        <v>0</v>
      </c>
      <c r="W179" s="55">
        <v>0</v>
      </c>
      <c r="X179" s="55">
        <v>0</v>
      </c>
      <c r="Y179" s="55">
        <v>0</v>
      </c>
      <c r="Z179" s="28">
        <f t="shared" si="52"/>
        <v>0</v>
      </c>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44">
        <f t="shared" si="53"/>
        <v>0</v>
      </c>
      <c r="BQ179" s="44">
        <f t="shared" si="54"/>
        <v>0</v>
      </c>
      <c r="BR179" s="44">
        <f t="shared" si="55"/>
        <v>0</v>
      </c>
      <c r="BS179" s="44">
        <f t="shared" si="56"/>
        <v>0</v>
      </c>
    </row>
    <row r="180" spans="1:71" s="50" customFormat="1" ht="105" customHeight="1" x14ac:dyDescent="0.25">
      <c r="A180" s="36" t="s">
        <v>1102</v>
      </c>
      <c r="B180" s="32" t="s">
        <v>1180</v>
      </c>
      <c r="C180" s="32" t="s">
        <v>1181</v>
      </c>
      <c r="D180" s="35" t="str">
        <f t="shared" si="51"/>
        <v>2.2-7.1</v>
      </c>
      <c r="E180" s="32" t="s">
        <v>1182</v>
      </c>
      <c r="F180" s="39" t="s">
        <v>229</v>
      </c>
      <c r="G180" s="117" t="s">
        <v>355</v>
      </c>
      <c r="H180" s="117" t="s">
        <v>1183</v>
      </c>
      <c r="I180" s="71">
        <v>45962</v>
      </c>
      <c r="J180" s="71">
        <v>46295</v>
      </c>
      <c r="K180" s="32" t="s">
        <v>1184</v>
      </c>
      <c r="L180" s="62" t="s">
        <v>1185</v>
      </c>
      <c r="M180" s="32"/>
      <c r="N180" s="32"/>
      <c r="O180" s="41" t="s">
        <v>1186</v>
      </c>
      <c r="P180" s="41"/>
      <c r="Q180" s="41" t="s">
        <v>363</v>
      </c>
      <c r="R180" s="41" t="s">
        <v>363</v>
      </c>
      <c r="S180" s="56" t="s">
        <v>376</v>
      </c>
      <c r="T180" s="55">
        <v>0</v>
      </c>
      <c r="U180" s="55">
        <v>0</v>
      </c>
      <c r="V180" s="55">
        <v>0</v>
      </c>
      <c r="W180" s="55">
        <v>0</v>
      </c>
      <c r="X180" s="55">
        <v>0</v>
      </c>
      <c r="Y180" s="55">
        <v>0</v>
      </c>
      <c r="Z180" s="28">
        <f t="shared" si="52"/>
        <v>0</v>
      </c>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44">
        <f t="shared" si="53"/>
        <v>0</v>
      </c>
      <c r="BQ180" s="44">
        <f t="shared" si="54"/>
        <v>0</v>
      </c>
      <c r="BR180" s="44">
        <f t="shared" si="55"/>
        <v>0</v>
      </c>
      <c r="BS180" s="44">
        <f t="shared" si="56"/>
        <v>0</v>
      </c>
    </row>
    <row r="181" spans="1:71" s="50" customFormat="1" ht="105" customHeight="1" x14ac:dyDescent="0.25">
      <c r="A181" s="36" t="s">
        <v>1102</v>
      </c>
      <c r="B181" s="32" t="s">
        <v>1180</v>
      </c>
      <c r="C181" s="32" t="s">
        <v>1181</v>
      </c>
      <c r="D181" s="35" t="str">
        <f t="shared" si="51"/>
        <v>2.2-7.2</v>
      </c>
      <c r="E181" s="32" t="s">
        <v>1187</v>
      </c>
      <c r="F181" s="39" t="s">
        <v>229</v>
      </c>
      <c r="G181" s="117" t="s">
        <v>355</v>
      </c>
      <c r="H181" s="117" t="s">
        <v>1183</v>
      </c>
      <c r="I181" s="71">
        <v>45962</v>
      </c>
      <c r="J181" s="71">
        <v>46295</v>
      </c>
      <c r="K181" s="32" t="s">
        <v>1188</v>
      </c>
      <c r="L181" s="62" t="s">
        <v>1185</v>
      </c>
      <c r="M181" s="32"/>
      <c r="N181" s="32"/>
      <c r="O181" s="41" t="s">
        <v>1186</v>
      </c>
      <c r="P181" s="41"/>
      <c r="Q181" s="41" t="s">
        <v>363</v>
      </c>
      <c r="R181" s="41" t="s">
        <v>363</v>
      </c>
      <c r="S181" s="116" t="s">
        <v>376</v>
      </c>
      <c r="T181" s="55">
        <v>0</v>
      </c>
      <c r="U181" s="55">
        <v>0</v>
      </c>
      <c r="V181" s="55">
        <v>0</v>
      </c>
      <c r="W181" s="55">
        <v>0</v>
      </c>
      <c r="X181" s="55">
        <v>0</v>
      </c>
      <c r="Y181" s="55">
        <v>0</v>
      </c>
      <c r="Z181" s="28">
        <f t="shared" si="52"/>
        <v>0</v>
      </c>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85">
        <f t="shared" si="53"/>
        <v>0</v>
      </c>
      <c r="BQ181" s="85">
        <f t="shared" si="54"/>
        <v>0</v>
      </c>
      <c r="BR181" s="85">
        <f t="shared" si="55"/>
        <v>0</v>
      </c>
      <c r="BS181" s="85">
        <f t="shared" si="56"/>
        <v>0</v>
      </c>
    </row>
    <row r="182" spans="1:71" s="50" customFormat="1" ht="105" customHeight="1" x14ac:dyDescent="0.25">
      <c r="A182" s="36" t="s">
        <v>1102</v>
      </c>
      <c r="B182" s="32" t="s">
        <v>1180</v>
      </c>
      <c r="C182" s="32" t="s">
        <v>1181</v>
      </c>
      <c r="D182" s="35" t="str">
        <f t="shared" si="51"/>
        <v>2.2-7.3</v>
      </c>
      <c r="E182" s="32" t="s">
        <v>1189</v>
      </c>
      <c r="F182" s="39" t="s">
        <v>229</v>
      </c>
      <c r="G182" s="117" t="s">
        <v>355</v>
      </c>
      <c r="H182" s="117" t="s">
        <v>1183</v>
      </c>
      <c r="I182" s="71">
        <v>45962</v>
      </c>
      <c r="J182" s="71">
        <v>46295</v>
      </c>
      <c r="K182" s="32" t="s">
        <v>1190</v>
      </c>
      <c r="L182" s="62" t="s">
        <v>1185</v>
      </c>
      <c r="M182" s="32"/>
      <c r="N182" s="32"/>
      <c r="O182" s="41" t="s">
        <v>1186</v>
      </c>
      <c r="P182" s="41"/>
      <c r="Q182" s="41" t="s">
        <v>363</v>
      </c>
      <c r="R182" s="41" t="s">
        <v>363</v>
      </c>
      <c r="S182" s="116" t="s">
        <v>376</v>
      </c>
      <c r="T182" s="55">
        <v>0</v>
      </c>
      <c r="U182" s="55">
        <v>0</v>
      </c>
      <c r="V182" s="55">
        <v>0</v>
      </c>
      <c r="W182" s="55">
        <v>0</v>
      </c>
      <c r="X182" s="55">
        <v>0</v>
      </c>
      <c r="Y182" s="55">
        <v>0</v>
      </c>
      <c r="Z182" s="28">
        <f t="shared" si="52"/>
        <v>0</v>
      </c>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85">
        <f t="shared" si="53"/>
        <v>0</v>
      </c>
      <c r="BQ182" s="85">
        <f t="shared" si="54"/>
        <v>0</v>
      </c>
      <c r="BR182" s="85">
        <f t="shared" si="55"/>
        <v>0</v>
      </c>
      <c r="BS182" s="85">
        <f t="shared" si="56"/>
        <v>0</v>
      </c>
    </row>
    <row r="183" spans="1:71" s="50" customFormat="1" ht="105" customHeight="1" x14ac:dyDescent="0.25">
      <c r="A183" s="36" t="s">
        <v>1102</v>
      </c>
      <c r="B183" s="32" t="s">
        <v>1180</v>
      </c>
      <c r="C183" s="32" t="s">
        <v>1181</v>
      </c>
      <c r="D183" s="35" t="str">
        <f t="shared" si="51"/>
        <v>2.2-7.4</v>
      </c>
      <c r="E183" s="32" t="s">
        <v>1191</v>
      </c>
      <c r="F183" s="39" t="s">
        <v>229</v>
      </c>
      <c r="G183" s="117" t="s">
        <v>355</v>
      </c>
      <c r="H183" s="117" t="s">
        <v>1183</v>
      </c>
      <c r="I183" s="71">
        <v>45962</v>
      </c>
      <c r="J183" s="71">
        <v>46295</v>
      </c>
      <c r="K183" s="32" t="s">
        <v>1192</v>
      </c>
      <c r="L183" s="62" t="s">
        <v>1185</v>
      </c>
      <c r="M183" s="32"/>
      <c r="N183" s="32"/>
      <c r="O183" s="41" t="s">
        <v>1186</v>
      </c>
      <c r="P183" s="41"/>
      <c r="Q183" s="41" t="s">
        <v>363</v>
      </c>
      <c r="R183" s="41" t="s">
        <v>363</v>
      </c>
      <c r="S183" s="116" t="s">
        <v>1193</v>
      </c>
      <c r="T183" s="119">
        <v>0</v>
      </c>
      <c r="U183" s="119">
        <v>0</v>
      </c>
      <c r="V183" s="119">
        <v>0</v>
      </c>
      <c r="W183" s="119"/>
      <c r="X183" s="119">
        <v>9446111</v>
      </c>
      <c r="Y183" s="119"/>
      <c r="Z183" s="28">
        <f t="shared" si="52"/>
        <v>9446111</v>
      </c>
      <c r="AA183" s="51"/>
      <c r="AB183" s="51"/>
      <c r="AC183" s="51"/>
      <c r="AD183" s="51"/>
      <c r="AE183" s="51"/>
      <c r="AF183" s="51"/>
      <c r="AG183" s="51"/>
      <c r="AH183" s="51"/>
      <c r="AI183" s="51"/>
      <c r="AJ183" s="51"/>
      <c r="AK183" s="51"/>
      <c r="AL183" s="51"/>
      <c r="AM183" s="51"/>
      <c r="AN183" s="51"/>
      <c r="AO183" s="118">
        <f>X183</f>
        <v>9446111</v>
      </c>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85">
        <f t="shared" si="53"/>
        <v>0</v>
      </c>
      <c r="BQ183" s="85">
        <f t="shared" si="54"/>
        <v>0</v>
      </c>
      <c r="BR183" s="85">
        <f t="shared" si="55"/>
        <v>0</v>
      </c>
      <c r="BS183" s="85">
        <f t="shared" si="56"/>
        <v>0</v>
      </c>
    </row>
    <row r="184" spans="1:71" s="50" customFormat="1" ht="105" customHeight="1" x14ac:dyDescent="0.25">
      <c r="A184" s="36" t="s">
        <v>1102</v>
      </c>
      <c r="B184" s="32" t="s">
        <v>1180</v>
      </c>
      <c r="C184" s="32" t="s">
        <v>1181</v>
      </c>
      <c r="D184" s="35" t="str">
        <f t="shared" si="51"/>
        <v>2.2-7.5</v>
      </c>
      <c r="E184" s="32" t="s">
        <v>1194</v>
      </c>
      <c r="F184" s="39" t="s">
        <v>229</v>
      </c>
      <c r="G184" s="117" t="s">
        <v>355</v>
      </c>
      <c r="H184" s="117" t="s">
        <v>1183</v>
      </c>
      <c r="I184" s="71">
        <v>45962</v>
      </c>
      <c r="J184" s="71">
        <v>46295</v>
      </c>
      <c r="K184" s="32" t="s">
        <v>1195</v>
      </c>
      <c r="L184" s="62" t="s">
        <v>1185</v>
      </c>
      <c r="M184" s="32"/>
      <c r="N184" s="32"/>
      <c r="O184" s="41" t="s">
        <v>1186</v>
      </c>
      <c r="P184" s="41"/>
      <c r="Q184" s="41" t="s">
        <v>363</v>
      </c>
      <c r="R184" s="41" t="s">
        <v>363</v>
      </c>
      <c r="S184" s="116" t="s">
        <v>376</v>
      </c>
      <c r="T184" s="55">
        <v>0</v>
      </c>
      <c r="U184" s="55">
        <v>0</v>
      </c>
      <c r="V184" s="55">
        <v>0</v>
      </c>
      <c r="W184" s="55">
        <v>0</v>
      </c>
      <c r="X184" s="55">
        <v>0</v>
      </c>
      <c r="Y184" s="55">
        <v>0</v>
      </c>
      <c r="Z184" s="28">
        <f t="shared" si="52"/>
        <v>0</v>
      </c>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85">
        <f t="shared" si="53"/>
        <v>0</v>
      </c>
      <c r="BQ184" s="85">
        <f t="shared" si="54"/>
        <v>0</v>
      </c>
      <c r="BR184" s="85">
        <f t="shared" si="55"/>
        <v>0</v>
      </c>
      <c r="BS184" s="85">
        <f t="shared" si="56"/>
        <v>0</v>
      </c>
    </row>
    <row r="185" spans="1:71" s="50" customFormat="1" ht="105" customHeight="1" x14ac:dyDescent="0.25">
      <c r="A185" s="36" t="s">
        <v>1102</v>
      </c>
      <c r="B185" s="32" t="s">
        <v>1180</v>
      </c>
      <c r="C185" s="32" t="s">
        <v>1181</v>
      </c>
      <c r="D185" s="35" t="str">
        <f t="shared" si="51"/>
        <v>2.2-7.6</v>
      </c>
      <c r="E185" s="32" t="s">
        <v>1196</v>
      </c>
      <c r="F185" s="39" t="s">
        <v>229</v>
      </c>
      <c r="G185" s="117" t="s">
        <v>355</v>
      </c>
      <c r="H185" s="117" t="s">
        <v>1183</v>
      </c>
      <c r="I185" s="71">
        <v>45962</v>
      </c>
      <c r="J185" s="71">
        <v>46295</v>
      </c>
      <c r="K185" s="32" t="s">
        <v>1197</v>
      </c>
      <c r="L185" s="62" t="s">
        <v>1185</v>
      </c>
      <c r="M185" s="32"/>
      <c r="N185" s="32"/>
      <c r="O185" s="41" t="s">
        <v>1186</v>
      </c>
      <c r="P185" s="41"/>
      <c r="Q185" s="41" t="s">
        <v>363</v>
      </c>
      <c r="R185" s="41" t="s">
        <v>363</v>
      </c>
      <c r="S185" s="116" t="s">
        <v>376</v>
      </c>
      <c r="T185" s="55">
        <v>0</v>
      </c>
      <c r="U185" s="55">
        <v>0</v>
      </c>
      <c r="V185" s="55">
        <v>0</v>
      </c>
      <c r="W185" s="55">
        <v>0</v>
      </c>
      <c r="X185" s="55">
        <v>0</v>
      </c>
      <c r="Y185" s="55">
        <v>0</v>
      </c>
      <c r="Z185" s="28">
        <f t="shared" si="52"/>
        <v>0</v>
      </c>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85">
        <f t="shared" si="53"/>
        <v>0</v>
      </c>
      <c r="BQ185" s="85">
        <f t="shared" si="54"/>
        <v>0</v>
      </c>
      <c r="BR185" s="85">
        <f t="shared" si="55"/>
        <v>0</v>
      </c>
      <c r="BS185" s="85">
        <f t="shared" si="56"/>
        <v>0</v>
      </c>
    </row>
    <row r="186" spans="1:71" s="50" customFormat="1" ht="71.099999999999994" customHeight="1" x14ac:dyDescent="0.25">
      <c r="A186" s="36" t="s">
        <v>1198</v>
      </c>
      <c r="B186" s="32" t="s">
        <v>1199</v>
      </c>
      <c r="C186" s="32" t="s">
        <v>1200</v>
      </c>
      <c r="D186" s="35" t="str">
        <f t="shared" si="51"/>
        <v>2.6-1.1</v>
      </c>
      <c r="E186" s="32" t="s">
        <v>1201</v>
      </c>
      <c r="F186" s="30" t="s">
        <v>167</v>
      </c>
      <c r="G186" s="49" t="s">
        <v>291</v>
      </c>
      <c r="H186" s="49" t="s">
        <v>608</v>
      </c>
      <c r="I186" s="71">
        <v>46023</v>
      </c>
      <c r="J186" s="71">
        <v>46053</v>
      </c>
      <c r="K186" s="32" t="s">
        <v>1202</v>
      </c>
      <c r="L186" s="32" t="s">
        <v>1202</v>
      </c>
      <c r="M186" s="32" t="s">
        <v>1203</v>
      </c>
      <c r="N186" s="32" t="s">
        <v>1204</v>
      </c>
      <c r="O186" s="41" t="s">
        <v>556</v>
      </c>
      <c r="P186" s="41" t="s">
        <v>556</v>
      </c>
      <c r="Q186" s="93" t="s">
        <v>363</v>
      </c>
      <c r="R186" s="93" t="s">
        <v>415</v>
      </c>
      <c r="S186" s="93" t="s">
        <v>1205</v>
      </c>
      <c r="T186" s="55">
        <v>400000</v>
      </c>
      <c r="U186" s="55"/>
      <c r="V186" s="55">
        <v>400000</v>
      </c>
      <c r="W186" s="55"/>
      <c r="X186" s="55">
        <v>840274</v>
      </c>
      <c r="Y186" s="55"/>
      <c r="Z186" s="28">
        <f t="shared" si="52"/>
        <v>1640274</v>
      </c>
      <c r="AA186" s="51"/>
      <c r="AB186" s="51"/>
      <c r="AC186" s="51"/>
      <c r="AD186" s="51"/>
      <c r="AE186" s="51"/>
      <c r="AF186" s="51"/>
      <c r="AG186" s="51"/>
      <c r="AH186" s="51"/>
      <c r="AI186" s="51"/>
      <c r="AJ186" s="51" t="e">
        <f>+#REF!</f>
        <v>#REF!</v>
      </c>
      <c r="AK186" s="51"/>
      <c r="AL186" s="51">
        <f>+X186</f>
        <v>840274</v>
      </c>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44" t="e">
        <f t="shared" si="53"/>
        <v>#REF!</v>
      </c>
      <c r="BQ186" s="44">
        <f t="shared" si="54"/>
        <v>0</v>
      </c>
      <c r="BR186" s="44">
        <f t="shared" si="55"/>
        <v>0</v>
      </c>
      <c r="BS186" s="44">
        <f t="shared" si="56"/>
        <v>0</v>
      </c>
    </row>
    <row r="187" spans="1:71" s="50" customFormat="1" ht="71.099999999999994" customHeight="1" x14ac:dyDescent="0.25">
      <c r="A187" s="36" t="s">
        <v>1198</v>
      </c>
      <c r="B187" s="32" t="s">
        <v>1199</v>
      </c>
      <c r="C187" s="32" t="s">
        <v>1200</v>
      </c>
      <c r="D187" s="35" t="str">
        <f t="shared" si="51"/>
        <v>2.6-1.2</v>
      </c>
      <c r="E187" s="32" t="s">
        <v>1206</v>
      </c>
      <c r="F187" s="30" t="s">
        <v>167</v>
      </c>
      <c r="G187" s="49" t="s">
        <v>1207</v>
      </c>
      <c r="H187" s="49" t="s">
        <v>608</v>
      </c>
      <c r="I187" s="71">
        <v>46143</v>
      </c>
      <c r="J187" s="59">
        <v>46233</v>
      </c>
      <c r="K187" s="32" t="s">
        <v>1208</v>
      </c>
      <c r="L187" s="32" t="s">
        <v>1209</v>
      </c>
      <c r="M187" s="32" t="s">
        <v>1203</v>
      </c>
      <c r="N187" s="32" t="s">
        <v>1210</v>
      </c>
      <c r="O187" s="30" t="s">
        <v>1211</v>
      </c>
      <c r="P187" s="30" t="s">
        <v>1212</v>
      </c>
      <c r="Q187" s="93" t="s">
        <v>363</v>
      </c>
      <c r="R187" s="93" t="s">
        <v>415</v>
      </c>
      <c r="S187" s="93" t="s">
        <v>376</v>
      </c>
      <c r="T187" s="55">
        <v>0</v>
      </c>
      <c r="U187" s="55">
        <v>0</v>
      </c>
      <c r="V187" s="55">
        <v>0</v>
      </c>
      <c r="W187" s="55">
        <v>0</v>
      </c>
      <c r="X187" s="55">
        <v>0</v>
      </c>
      <c r="Y187" s="55">
        <v>0</v>
      </c>
      <c r="Z187" s="28">
        <f t="shared" si="52"/>
        <v>0</v>
      </c>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44"/>
      <c r="BQ187" s="44"/>
      <c r="BR187" s="44"/>
      <c r="BS187" s="44"/>
    </row>
    <row r="188" spans="1:71" s="50" customFormat="1" ht="71.099999999999994" customHeight="1" x14ac:dyDescent="0.25">
      <c r="A188" s="36" t="s">
        <v>1198</v>
      </c>
      <c r="B188" s="32" t="s">
        <v>1199</v>
      </c>
      <c r="C188" s="32" t="s">
        <v>1200</v>
      </c>
      <c r="D188" s="35" t="str">
        <f t="shared" si="51"/>
        <v>2.6-1.3</v>
      </c>
      <c r="E188" s="32" t="s">
        <v>1213</v>
      </c>
      <c r="F188" s="30" t="s">
        <v>167</v>
      </c>
      <c r="G188" s="49" t="s">
        <v>1207</v>
      </c>
      <c r="H188" s="49" t="s">
        <v>608</v>
      </c>
      <c r="I188" s="71">
        <v>46235</v>
      </c>
      <c r="J188" s="59">
        <v>46264</v>
      </c>
      <c r="K188" s="32" t="s">
        <v>1209</v>
      </c>
      <c r="L188" s="32" t="s">
        <v>1209</v>
      </c>
      <c r="M188" s="32" t="s">
        <v>1203</v>
      </c>
      <c r="N188" s="32" t="s">
        <v>1210</v>
      </c>
      <c r="O188" s="41" t="s">
        <v>1214</v>
      </c>
      <c r="P188" s="41" t="s">
        <v>887</v>
      </c>
      <c r="Q188" s="93" t="s">
        <v>363</v>
      </c>
      <c r="R188" s="93" t="s">
        <v>415</v>
      </c>
      <c r="S188" s="93" t="s">
        <v>1215</v>
      </c>
      <c r="T188" s="55"/>
      <c r="U188" s="55"/>
      <c r="V188" s="55">
        <v>0</v>
      </c>
      <c r="W188" s="55"/>
      <c r="X188" s="55"/>
      <c r="Y188" s="55">
        <v>16375386.84</v>
      </c>
      <c r="Z188" s="28">
        <f t="shared" si="52"/>
        <v>16375386.84</v>
      </c>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60">
        <v>16375386.84</v>
      </c>
      <c r="BL188" s="51"/>
      <c r="BM188" s="51"/>
      <c r="BN188" s="51"/>
      <c r="BO188" s="51"/>
      <c r="BP188" s="44"/>
      <c r="BQ188" s="44"/>
      <c r="BR188" s="44"/>
      <c r="BS188" s="44"/>
    </row>
    <row r="189" spans="1:71" s="50" customFormat="1" ht="71.099999999999994" customHeight="1" x14ac:dyDescent="0.25">
      <c r="A189" s="36" t="s">
        <v>1198</v>
      </c>
      <c r="B189" s="32" t="s">
        <v>1216</v>
      </c>
      <c r="C189" s="32" t="s">
        <v>1217</v>
      </c>
      <c r="D189" s="35" t="str">
        <f t="shared" si="51"/>
        <v>2.6-2.1</v>
      </c>
      <c r="E189" s="32" t="s">
        <v>217</v>
      </c>
      <c r="F189" s="30" t="s">
        <v>167</v>
      </c>
      <c r="G189" s="49" t="s">
        <v>291</v>
      </c>
      <c r="H189" s="49" t="s">
        <v>477</v>
      </c>
      <c r="I189" s="71">
        <v>45668</v>
      </c>
      <c r="J189" s="59">
        <v>46295</v>
      </c>
      <c r="K189" s="42" t="s">
        <v>1218</v>
      </c>
      <c r="L189" s="32" t="s">
        <v>1219</v>
      </c>
      <c r="M189" s="32" t="s">
        <v>1220</v>
      </c>
      <c r="N189" s="32" t="s">
        <v>1221</v>
      </c>
      <c r="O189" s="41" t="s">
        <v>1222</v>
      </c>
      <c r="P189" s="41" t="s">
        <v>1223</v>
      </c>
      <c r="Q189" s="93" t="s">
        <v>363</v>
      </c>
      <c r="R189" s="93" t="s">
        <v>415</v>
      </c>
      <c r="S189" s="93" t="s">
        <v>376</v>
      </c>
      <c r="T189" s="55">
        <v>0</v>
      </c>
      <c r="U189" s="55">
        <v>0</v>
      </c>
      <c r="V189" s="55">
        <v>0</v>
      </c>
      <c r="W189" s="55">
        <v>0</v>
      </c>
      <c r="X189" s="55">
        <v>0</v>
      </c>
      <c r="Y189" s="55">
        <v>0</v>
      </c>
      <c r="Z189" s="28">
        <f t="shared" si="52"/>
        <v>0</v>
      </c>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44">
        <f t="shared" ref="BP189:BP205" si="57">T189-SUM(AA189,AD189,AG189,AJ189,AM189,AP189)</f>
        <v>0</v>
      </c>
      <c r="BQ189" s="44">
        <f>U189-SUM(AS189,AV189,AZ189,BD189,BH189,BL189)</f>
        <v>0</v>
      </c>
      <c r="BR189" s="44">
        <f t="shared" ref="BR189:BS192" si="58">W189-SUM(AB189,AE189,AH189,AK189,AN189,AQ189,AT189,AW189,BA189,BE189,BI189,BM189)</f>
        <v>0</v>
      </c>
      <c r="BS189" s="44">
        <f t="shared" si="58"/>
        <v>0</v>
      </c>
    </row>
    <row r="190" spans="1:71" s="50" customFormat="1" ht="69" customHeight="1" x14ac:dyDescent="0.25">
      <c r="A190" s="36" t="s">
        <v>1198</v>
      </c>
      <c r="B190" s="32" t="s">
        <v>1216</v>
      </c>
      <c r="C190" s="32" t="s">
        <v>1217</v>
      </c>
      <c r="D190" s="35" t="str">
        <f t="shared" si="51"/>
        <v>2.6-2.2</v>
      </c>
      <c r="E190" s="32" t="s">
        <v>1224</v>
      </c>
      <c r="F190" s="30" t="s">
        <v>167</v>
      </c>
      <c r="G190" s="49" t="s">
        <v>291</v>
      </c>
      <c r="H190" s="49" t="s">
        <v>505</v>
      </c>
      <c r="I190" s="71">
        <v>45931</v>
      </c>
      <c r="J190" s="59" t="s">
        <v>433</v>
      </c>
      <c r="K190" s="42"/>
      <c r="L190" s="32" t="s">
        <v>1225</v>
      </c>
      <c r="M190" s="32" t="s">
        <v>1226</v>
      </c>
      <c r="N190" s="32" t="s">
        <v>1221</v>
      </c>
      <c r="O190" s="41" t="s">
        <v>1222</v>
      </c>
      <c r="P190" s="41" t="s">
        <v>1223</v>
      </c>
      <c r="Q190" s="93" t="s">
        <v>363</v>
      </c>
      <c r="R190" s="93" t="s">
        <v>415</v>
      </c>
      <c r="S190" s="93" t="s">
        <v>1227</v>
      </c>
      <c r="T190" s="55">
        <v>1347960</v>
      </c>
      <c r="U190" s="55"/>
      <c r="V190" s="55">
        <v>1347960</v>
      </c>
      <c r="W190" s="55"/>
      <c r="X190" s="55">
        <v>1268200</v>
      </c>
      <c r="Y190" s="55"/>
      <c r="Z190" s="28">
        <f t="shared" si="52"/>
        <v>3964120</v>
      </c>
      <c r="AA190" s="51" t="e">
        <f>+#REF!/3</f>
        <v>#REF!</v>
      </c>
      <c r="AB190" s="51"/>
      <c r="AC190" s="51"/>
      <c r="AD190" s="51" t="e">
        <f>+#REF!/3</f>
        <v>#REF!</v>
      </c>
      <c r="AE190" s="51"/>
      <c r="AF190" s="51"/>
      <c r="AG190" s="51" t="e">
        <f>+#REF!/3</f>
        <v>#REF!</v>
      </c>
      <c r="AH190" s="51"/>
      <c r="AI190" s="51"/>
      <c r="AJ190" s="51"/>
      <c r="AK190" s="51"/>
      <c r="AL190" s="51">
        <v>454100</v>
      </c>
      <c r="AM190" s="51"/>
      <c r="AN190" s="51"/>
      <c r="AO190" s="51">
        <v>454100</v>
      </c>
      <c r="AP190" s="51"/>
      <c r="AQ190" s="51"/>
      <c r="AR190" s="51">
        <v>454100</v>
      </c>
      <c r="AS190" s="51"/>
      <c r="AT190" s="51"/>
      <c r="AU190" s="51"/>
      <c r="AV190" s="51"/>
      <c r="AW190" s="51"/>
      <c r="AX190" s="60">
        <v>454100</v>
      </c>
      <c r="AY190" s="51"/>
      <c r="AZ190" s="51"/>
      <c r="BA190" s="51"/>
      <c r="BB190" s="51"/>
      <c r="BC190" s="51"/>
      <c r="BD190" s="51"/>
      <c r="BE190" s="51"/>
      <c r="BF190" s="51"/>
      <c r="BG190" s="51"/>
      <c r="BH190" s="51"/>
      <c r="BI190" s="51"/>
      <c r="BJ190" s="60">
        <v>454100</v>
      </c>
      <c r="BK190" s="51"/>
      <c r="BL190" s="51"/>
      <c r="BM190" s="51"/>
      <c r="BN190" s="51"/>
      <c r="BO190" s="51"/>
      <c r="BP190" s="44" t="e">
        <f t="shared" si="57"/>
        <v>#REF!</v>
      </c>
      <c r="BQ190" s="44">
        <f>U190-SUM(AS190,AV190,AZ190,BD190,BH190,BL190)</f>
        <v>0</v>
      </c>
      <c r="BR190" s="44">
        <f t="shared" si="58"/>
        <v>0</v>
      </c>
      <c r="BS190" s="44">
        <f t="shared" si="58"/>
        <v>-1002300</v>
      </c>
    </row>
    <row r="191" spans="1:71" s="105" customFormat="1" ht="69" customHeight="1" x14ac:dyDescent="0.25">
      <c r="A191" s="103" t="s">
        <v>1198</v>
      </c>
      <c r="B191" s="98" t="s">
        <v>1216</v>
      </c>
      <c r="C191" s="98" t="s">
        <v>1217</v>
      </c>
      <c r="D191" s="35" t="str">
        <f t="shared" si="51"/>
        <v>2.6-2.3</v>
      </c>
      <c r="E191" s="32" t="s">
        <v>1228</v>
      </c>
      <c r="F191" s="109" t="s">
        <v>167</v>
      </c>
      <c r="G191" s="112" t="s">
        <v>291</v>
      </c>
      <c r="H191" s="112" t="s">
        <v>477</v>
      </c>
      <c r="I191" s="100">
        <v>45962</v>
      </c>
      <c r="J191" s="115" t="s">
        <v>839</v>
      </c>
      <c r="K191" s="114"/>
      <c r="L191" s="32" t="s">
        <v>1225</v>
      </c>
      <c r="M191" s="98"/>
      <c r="N191" s="32" t="s">
        <v>1221</v>
      </c>
      <c r="O191" s="113" t="s">
        <v>1229</v>
      </c>
      <c r="P191" s="41" t="s">
        <v>1223</v>
      </c>
      <c r="Q191" s="110" t="s">
        <v>363</v>
      </c>
      <c r="R191" s="110" t="s">
        <v>363</v>
      </c>
      <c r="S191" s="110" t="s">
        <v>376</v>
      </c>
      <c r="T191" s="55">
        <v>0</v>
      </c>
      <c r="U191" s="55">
        <v>0</v>
      </c>
      <c r="V191" s="55">
        <v>0</v>
      </c>
      <c r="W191" s="55">
        <v>0</v>
      </c>
      <c r="X191" s="55">
        <v>0</v>
      </c>
      <c r="Y191" s="55">
        <v>0</v>
      </c>
      <c r="Z191" s="28">
        <f t="shared" si="52"/>
        <v>0</v>
      </c>
      <c r="AA191" s="106"/>
      <c r="AB191" s="106"/>
      <c r="AC191" s="106"/>
      <c r="AD191" s="106"/>
      <c r="AE191" s="106"/>
      <c r="AF191" s="106"/>
      <c r="AG191" s="106"/>
      <c r="AH191" s="106"/>
      <c r="AI191" s="106"/>
      <c r="AJ191" s="106"/>
      <c r="AK191" s="106"/>
      <c r="AL191" s="106"/>
      <c r="AM191" s="106"/>
      <c r="AN191" s="106"/>
      <c r="AO191" s="106"/>
      <c r="AP191" s="106"/>
      <c r="AQ191" s="106"/>
      <c r="AR191" s="106"/>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85">
        <f t="shared" si="57"/>
        <v>0</v>
      </c>
      <c r="BQ191" s="85">
        <f>U191-SUM(AS191,AV191,AZ191,BD191,BH191,BL191)</f>
        <v>0</v>
      </c>
      <c r="BR191" s="85">
        <f t="shared" si="58"/>
        <v>0</v>
      </c>
      <c r="BS191" s="85">
        <f t="shared" si="58"/>
        <v>0</v>
      </c>
    </row>
    <row r="192" spans="1:71" s="50" customFormat="1" ht="69" customHeight="1" x14ac:dyDescent="0.25">
      <c r="A192" s="36" t="s">
        <v>1198</v>
      </c>
      <c r="B192" s="32" t="s">
        <v>1216</v>
      </c>
      <c r="C192" s="32" t="s">
        <v>1217</v>
      </c>
      <c r="D192" s="35" t="str">
        <f t="shared" si="51"/>
        <v>2.6-2.4</v>
      </c>
      <c r="E192" s="32" t="s">
        <v>1230</v>
      </c>
      <c r="F192" s="30" t="s">
        <v>167</v>
      </c>
      <c r="G192" s="49" t="s">
        <v>291</v>
      </c>
      <c r="H192" s="49" t="s">
        <v>505</v>
      </c>
      <c r="I192" s="71">
        <v>45931</v>
      </c>
      <c r="J192" s="59" t="s">
        <v>839</v>
      </c>
      <c r="K192" s="42" t="s">
        <v>1231</v>
      </c>
      <c r="L192" s="32" t="s">
        <v>1225</v>
      </c>
      <c r="M192" s="32"/>
      <c r="N192" s="32" t="s">
        <v>1221</v>
      </c>
      <c r="O192" s="41" t="s">
        <v>1232</v>
      </c>
      <c r="P192" s="41" t="s">
        <v>1223</v>
      </c>
      <c r="Q192" s="93" t="s">
        <v>363</v>
      </c>
      <c r="R192" s="93" t="s">
        <v>363</v>
      </c>
      <c r="S192" s="93" t="s">
        <v>376</v>
      </c>
      <c r="T192" s="55">
        <v>0</v>
      </c>
      <c r="U192" s="55">
        <v>0</v>
      </c>
      <c r="V192" s="55">
        <v>0</v>
      </c>
      <c r="W192" s="55">
        <v>0</v>
      </c>
      <c r="X192" s="55">
        <v>0</v>
      </c>
      <c r="Y192" s="55">
        <v>0</v>
      </c>
      <c r="Z192" s="28">
        <f t="shared" si="52"/>
        <v>0</v>
      </c>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44">
        <f t="shared" si="57"/>
        <v>0</v>
      </c>
      <c r="BQ192" s="44">
        <f>U192-SUM(AS192,AV192,AZ192,BD192,BH192,BL192)</f>
        <v>0</v>
      </c>
      <c r="BR192" s="44">
        <f t="shared" si="58"/>
        <v>0</v>
      </c>
      <c r="BS192" s="44">
        <f t="shared" si="58"/>
        <v>0</v>
      </c>
    </row>
    <row r="193" spans="1:71" s="50" customFormat="1" ht="69" customHeight="1" x14ac:dyDescent="0.25">
      <c r="A193" s="36" t="s">
        <v>1198</v>
      </c>
      <c r="B193" s="32" t="s">
        <v>1216</v>
      </c>
      <c r="C193" s="32" t="s">
        <v>1217</v>
      </c>
      <c r="D193" s="35" t="str">
        <f t="shared" si="51"/>
        <v>2.6-2.5</v>
      </c>
      <c r="E193" s="32" t="s">
        <v>1233</v>
      </c>
      <c r="F193" s="30" t="s">
        <v>167</v>
      </c>
      <c r="G193" s="49" t="s">
        <v>291</v>
      </c>
      <c r="H193" s="49" t="s">
        <v>505</v>
      </c>
      <c r="I193" s="71">
        <v>46143</v>
      </c>
      <c r="J193" s="59">
        <v>46295</v>
      </c>
      <c r="K193" s="32" t="s">
        <v>1234</v>
      </c>
      <c r="L193" s="32" t="s">
        <v>1235</v>
      </c>
      <c r="M193" s="32"/>
      <c r="N193" s="32" t="s">
        <v>1221</v>
      </c>
      <c r="O193" s="41" t="s">
        <v>1236</v>
      </c>
      <c r="P193" s="41" t="s">
        <v>1223</v>
      </c>
      <c r="Q193" s="93" t="s">
        <v>875</v>
      </c>
      <c r="R193" s="93" t="s">
        <v>875</v>
      </c>
      <c r="S193" s="93" t="s">
        <v>376</v>
      </c>
      <c r="T193" s="55">
        <v>0</v>
      </c>
      <c r="U193" s="55">
        <v>0</v>
      </c>
      <c r="V193" s="55">
        <v>0</v>
      </c>
      <c r="W193" s="55">
        <v>0</v>
      </c>
      <c r="X193" s="55">
        <v>0</v>
      </c>
      <c r="Y193" s="55">
        <v>0</v>
      </c>
      <c r="Z193" s="28">
        <f t="shared" si="52"/>
        <v>0</v>
      </c>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44">
        <f t="shared" si="57"/>
        <v>0</v>
      </c>
      <c r="BQ193" s="44"/>
      <c r="BR193" s="44"/>
      <c r="BS193" s="44"/>
    </row>
    <row r="194" spans="1:71" s="50" customFormat="1" ht="129.75" customHeight="1" x14ac:dyDescent="0.25">
      <c r="A194" s="36" t="s">
        <v>1198</v>
      </c>
      <c r="B194" s="32" t="s">
        <v>1237</v>
      </c>
      <c r="C194" s="32" t="s">
        <v>1217</v>
      </c>
      <c r="D194" s="35" t="str">
        <f t="shared" si="51"/>
        <v>2.6-3.1</v>
      </c>
      <c r="E194" s="32" t="s">
        <v>1238</v>
      </c>
      <c r="F194" s="30" t="s">
        <v>167</v>
      </c>
      <c r="G194" s="49" t="s">
        <v>291</v>
      </c>
      <c r="H194" s="49" t="s">
        <v>477</v>
      </c>
      <c r="I194" s="71">
        <v>45931</v>
      </c>
      <c r="J194" s="59" t="s">
        <v>839</v>
      </c>
      <c r="K194" s="42"/>
      <c r="L194" s="32" t="s">
        <v>1239</v>
      </c>
      <c r="M194" s="32" t="s">
        <v>1240</v>
      </c>
      <c r="N194" s="32" t="s">
        <v>1241</v>
      </c>
      <c r="O194" s="41" t="s">
        <v>1109</v>
      </c>
      <c r="P194" s="41" t="s">
        <v>1109</v>
      </c>
      <c r="Q194" s="93" t="s">
        <v>363</v>
      </c>
      <c r="R194" s="93" t="s">
        <v>363</v>
      </c>
      <c r="S194" s="93" t="s">
        <v>376</v>
      </c>
      <c r="T194" s="55">
        <v>0</v>
      </c>
      <c r="U194" s="55">
        <v>0</v>
      </c>
      <c r="V194" s="55">
        <v>0</v>
      </c>
      <c r="W194" s="55">
        <v>0</v>
      </c>
      <c r="X194" s="55">
        <v>0</v>
      </c>
      <c r="Y194" s="55">
        <v>0</v>
      </c>
      <c r="Z194" s="28">
        <f t="shared" si="52"/>
        <v>0</v>
      </c>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44">
        <f t="shared" si="57"/>
        <v>0</v>
      </c>
      <c r="BQ194" s="44">
        <f t="shared" ref="BQ194:BQ205" si="59">U194-SUM(AS194,AV194,AZ194,BD194,BH194,BL194)</f>
        <v>0</v>
      </c>
      <c r="BR194" s="44">
        <f t="shared" ref="BR194:BR205" si="60">W194-SUM(AB194,AE194,AH194,AK194,AN194,AQ194,AT194,AW194,BA194,BE194,BI194,BM194)</f>
        <v>0</v>
      </c>
      <c r="BS194" s="44">
        <f t="shared" ref="BS194:BS205" si="61">X194-SUM(AC194,AF194,AI194,AL194,AO194,AR194,AU194,AX194,BB194,BF194,BJ194,BN194)</f>
        <v>0</v>
      </c>
    </row>
    <row r="195" spans="1:71" s="105" customFormat="1" ht="129.75" customHeight="1" x14ac:dyDescent="0.25">
      <c r="A195" s="103" t="s">
        <v>1198</v>
      </c>
      <c r="B195" s="98" t="s">
        <v>1237</v>
      </c>
      <c r="C195" s="98" t="s">
        <v>1217</v>
      </c>
      <c r="D195" s="35" t="str">
        <f t="shared" si="51"/>
        <v>2.6-3.2</v>
      </c>
      <c r="E195" s="78" t="s">
        <v>1242</v>
      </c>
      <c r="F195" s="109" t="s">
        <v>167</v>
      </c>
      <c r="G195" s="112" t="s">
        <v>291</v>
      </c>
      <c r="H195" s="49" t="s">
        <v>477</v>
      </c>
      <c r="I195" s="100">
        <v>45962</v>
      </c>
      <c r="J195" s="115" t="s">
        <v>1091</v>
      </c>
      <c r="K195" s="114"/>
      <c r="L195" s="98" t="s">
        <v>1243</v>
      </c>
      <c r="M195" s="98"/>
      <c r="N195" s="98" t="s">
        <v>1241</v>
      </c>
      <c r="O195" s="113" t="s">
        <v>445</v>
      </c>
      <c r="P195" s="41" t="s">
        <v>1109</v>
      </c>
      <c r="Q195" s="110" t="s">
        <v>363</v>
      </c>
      <c r="R195" s="110" t="s">
        <v>363</v>
      </c>
      <c r="S195" s="110" t="s">
        <v>376</v>
      </c>
      <c r="T195" s="55">
        <v>0</v>
      </c>
      <c r="U195" s="55">
        <v>0</v>
      </c>
      <c r="V195" s="55">
        <v>0</v>
      </c>
      <c r="W195" s="55">
        <v>0</v>
      </c>
      <c r="X195" s="55">
        <v>0</v>
      </c>
      <c r="Y195" s="55">
        <v>0</v>
      </c>
      <c r="Z195" s="28">
        <f t="shared" si="52"/>
        <v>0</v>
      </c>
      <c r="AA195" s="106"/>
      <c r="AB195" s="106"/>
      <c r="AC195" s="106"/>
      <c r="AD195" s="106"/>
      <c r="AE195" s="106"/>
      <c r="AF195" s="106"/>
      <c r="AG195" s="106"/>
      <c r="AH195" s="106"/>
      <c r="AI195" s="106"/>
      <c r="AJ195" s="106"/>
      <c r="AK195" s="106"/>
      <c r="AL195" s="106"/>
      <c r="AM195" s="106"/>
      <c r="AN195" s="106"/>
      <c r="AO195" s="106"/>
      <c r="AP195" s="106"/>
      <c r="AQ195" s="106"/>
      <c r="AR195" s="106"/>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85">
        <f t="shared" si="57"/>
        <v>0</v>
      </c>
      <c r="BQ195" s="85">
        <f t="shared" si="59"/>
        <v>0</v>
      </c>
      <c r="BR195" s="85">
        <f t="shared" si="60"/>
        <v>0</v>
      </c>
      <c r="BS195" s="85">
        <f t="shared" si="61"/>
        <v>0</v>
      </c>
    </row>
    <row r="196" spans="1:71" s="105" customFormat="1" ht="129.75" customHeight="1" x14ac:dyDescent="0.25">
      <c r="A196" s="36" t="s">
        <v>1198</v>
      </c>
      <c r="B196" s="32" t="s">
        <v>1237</v>
      </c>
      <c r="C196" s="32" t="s">
        <v>1217</v>
      </c>
      <c r="D196" s="35" t="str">
        <f t="shared" si="51"/>
        <v>2.6-3.3</v>
      </c>
      <c r="E196" s="32" t="s">
        <v>1244</v>
      </c>
      <c r="F196" s="30" t="s">
        <v>247</v>
      </c>
      <c r="G196" s="49" t="s">
        <v>291</v>
      </c>
      <c r="H196" s="49" t="s">
        <v>477</v>
      </c>
      <c r="I196" s="100">
        <v>45962</v>
      </c>
      <c r="J196" s="59" t="s">
        <v>853</v>
      </c>
      <c r="K196" s="32" t="s">
        <v>1245</v>
      </c>
      <c r="L196" s="32" t="s">
        <v>1245</v>
      </c>
      <c r="M196" s="32"/>
      <c r="N196" s="32" t="s">
        <v>1241</v>
      </c>
      <c r="O196" s="41" t="s">
        <v>1246</v>
      </c>
      <c r="P196" s="41" t="s">
        <v>1109</v>
      </c>
      <c r="Q196" s="93" t="s">
        <v>363</v>
      </c>
      <c r="R196" s="93" t="s">
        <v>363</v>
      </c>
      <c r="S196" s="93" t="s">
        <v>376</v>
      </c>
      <c r="T196" s="55">
        <v>0</v>
      </c>
      <c r="U196" s="55">
        <v>0</v>
      </c>
      <c r="V196" s="55">
        <v>0</v>
      </c>
      <c r="W196" s="55">
        <v>0</v>
      </c>
      <c r="X196" s="55">
        <v>0</v>
      </c>
      <c r="Y196" s="55">
        <v>0</v>
      </c>
      <c r="Z196" s="28">
        <f t="shared" si="52"/>
        <v>0</v>
      </c>
      <c r="AA196" s="106"/>
      <c r="AB196" s="106"/>
      <c r="AC196" s="106"/>
      <c r="AD196" s="106"/>
      <c r="AE196" s="106"/>
      <c r="AF196" s="106">
        <v>5000000</v>
      </c>
      <c r="AG196" s="106"/>
      <c r="AH196" s="106"/>
      <c r="AI196" s="106"/>
      <c r="AJ196" s="106"/>
      <c r="AK196" s="106"/>
      <c r="AL196" s="106"/>
      <c r="AM196" s="106"/>
      <c r="AN196" s="106"/>
      <c r="AO196" s="106"/>
      <c r="AP196" s="106"/>
      <c r="AQ196" s="106"/>
      <c r="AR196" s="106"/>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85">
        <f t="shared" si="57"/>
        <v>0</v>
      </c>
      <c r="BQ196" s="85">
        <f t="shared" si="59"/>
        <v>0</v>
      </c>
      <c r="BR196" s="85">
        <f t="shared" si="60"/>
        <v>0</v>
      </c>
      <c r="BS196" s="85">
        <f t="shared" si="61"/>
        <v>-5000000</v>
      </c>
    </row>
    <row r="197" spans="1:71" s="50" customFormat="1" ht="129.75" customHeight="1" x14ac:dyDescent="0.25">
      <c r="A197" s="36" t="s">
        <v>1198</v>
      </c>
      <c r="B197" s="32" t="s">
        <v>1247</v>
      </c>
      <c r="C197" s="32" t="s">
        <v>1248</v>
      </c>
      <c r="D197" s="35" t="str">
        <f t="shared" si="51"/>
        <v>2.6-4.1</v>
      </c>
      <c r="E197" s="32" t="s">
        <v>1249</v>
      </c>
      <c r="F197" s="30" t="s">
        <v>167</v>
      </c>
      <c r="G197" s="49" t="s">
        <v>461</v>
      </c>
      <c r="H197" s="49" t="s">
        <v>608</v>
      </c>
      <c r="I197" s="71">
        <v>45931</v>
      </c>
      <c r="J197" s="59" t="s">
        <v>839</v>
      </c>
      <c r="K197" s="42"/>
      <c r="L197" s="32" t="s">
        <v>1250</v>
      </c>
      <c r="M197" s="32" t="s">
        <v>1251</v>
      </c>
      <c r="N197" s="32" t="s">
        <v>1252</v>
      </c>
      <c r="O197" s="41" t="s">
        <v>1099</v>
      </c>
      <c r="P197" s="41" t="s">
        <v>1253</v>
      </c>
      <c r="Q197" s="93" t="s">
        <v>363</v>
      </c>
      <c r="R197" s="93" t="s">
        <v>415</v>
      </c>
      <c r="S197" s="93" t="s">
        <v>376</v>
      </c>
      <c r="T197" s="55">
        <v>0</v>
      </c>
      <c r="U197" s="55">
        <v>0</v>
      </c>
      <c r="V197" s="55">
        <v>0</v>
      </c>
      <c r="W197" s="55">
        <v>0</v>
      </c>
      <c r="X197" s="55">
        <v>0</v>
      </c>
      <c r="Y197" s="55">
        <v>0</v>
      </c>
      <c r="Z197" s="28">
        <f t="shared" si="52"/>
        <v>0</v>
      </c>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44">
        <f t="shared" si="57"/>
        <v>0</v>
      </c>
      <c r="BQ197" s="44">
        <f t="shared" si="59"/>
        <v>0</v>
      </c>
      <c r="BR197" s="44">
        <f t="shared" si="60"/>
        <v>0</v>
      </c>
      <c r="BS197" s="44">
        <f t="shared" si="61"/>
        <v>0</v>
      </c>
    </row>
    <row r="198" spans="1:71" s="50" customFormat="1" ht="68.849999999999994" customHeight="1" x14ac:dyDescent="0.25">
      <c r="A198" s="36" t="s">
        <v>1198</v>
      </c>
      <c r="B198" s="32" t="s">
        <v>1254</v>
      </c>
      <c r="C198" s="32" t="s">
        <v>1255</v>
      </c>
      <c r="D198" s="35" t="str">
        <f t="shared" si="51"/>
        <v>2.6-5.1</v>
      </c>
      <c r="E198" s="43" t="s">
        <v>1256</v>
      </c>
      <c r="F198" s="35" t="s">
        <v>167</v>
      </c>
      <c r="G198" s="34" t="s">
        <v>355</v>
      </c>
      <c r="H198" s="34" t="s">
        <v>356</v>
      </c>
      <c r="I198" s="71">
        <v>46235</v>
      </c>
      <c r="J198" s="71" t="s">
        <v>433</v>
      </c>
      <c r="K198" s="32" t="s">
        <v>1257</v>
      </c>
      <c r="L198" s="32" t="s">
        <v>1258</v>
      </c>
      <c r="M198" s="32" t="s">
        <v>1259</v>
      </c>
      <c r="N198" s="32" t="s">
        <v>1260</v>
      </c>
      <c r="O198" s="41" t="s">
        <v>1261</v>
      </c>
      <c r="P198" s="41" t="s">
        <v>1261</v>
      </c>
      <c r="Q198" s="93" t="s">
        <v>363</v>
      </c>
      <c r="R198" s="93" t="s">
        <v>363</v>
      </c>
      <c r="S198" s="93" t="s">
        <v>1262</v>
      </c>
      <c r="T198" s="55"/>
      <c r="U198" s="55">
        <v>11651268</v>
      </c>
      <c r="V198" s="55">
        <v>11651268</v>
      </c>
      <c r="W198" s="55"/>
      <c r="X198" s="55"/>
      <c r="Y198" s="55"/>
      <c r="Z198" s="28">
        <f t="shared" si="52"/>
        <v>23302536</v>
      </c>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60">
        <v>11651268</v>
      </c>
      <c r="BI198" s="51"/>
      <c r="BJ198" s="51"/>
      <c r="BK198" s="51"/>
      <c r="BL198" s="51"/>
      <c r="BM198" s="51"/>
      <c r="BN198" s="51"/>
      <c r="BO198" s="51"/>
      <c r="BP198" s="44">
        <f t="shared" si="57"/>
        <v>0</v>
      </c>
      <c r="BQ198" s="44">
        <f t="shared" si="59"/>
        <v>0</v>
      </c>
      <c r="BR198" s="44">
        <f t="shared" si="60"/>
        <v>0</v>
      </c>
      <c r="BS198" s="44">
        <f t="shared" si="61"/>
        <v>0</v>
      </c>
    </row>
    <row r="199" spans="1:71" s="50" customFormat="1" ht="79.349999999999994" customHeight="1" x14ac:dyDescent="0.25">
      <c r="A199" s="36" t="s">
        <v>1198</v>
      </c>
      <c r="B199" s="32" t="s">
        <v>1254</v>
      </c>
      <c r="C199" s="32" t="s">
        <v>1255</v>
      </c>
      <c r="D199" s="35" t="str">
        <f t="shared" si="51"/>
        <v>2.6-5.2</v>
      </c>
      <c r="E199" s="32" t="s">
        <v>1263</v>
      </c>
      <c r="F199" s="30" t="s">
        <v>167</v>
      </c>
      <c r="G199" s="49" t="s">
        <v>355</v>
      </c>
      <c r="H199" s="49" t="s">
        <v>356</v>
      </c>
      <c r="I199" s="71">
        <v>46174</v>
      </c>
      <c r="J199" s="59" t="s">
        <v>433</v>
      </c>
      <c r="K199" s="32" t="s">
        <v>1264</v>
      </c>
      <c r="L199" s="32" t="s">
        <v>1258</v>
      </c>
      <c r="M199" s="32" t="s">
        <v>1259</v>
      </c>
      <c r="N199" s="32" t="s">
        <v>1260</v>
      </c>
      <c r="O199" s="41" t="s">
        <v>1265</v>
      </c>
      <c r="P199" s="41" t="s">
        <v>1266</v>
      </c>
      <c r="Q199" s="93" t="s">
        <v>363</v>
      </c>
      <c r="R199" s="93" t="s">
        <v>415</v>
      </c>
      <c r="S199" s="74" t="s">
        <v>1267</v>
      </c>
      <c r="T199" s="55">
        <v>0</v>
      </c>
      <c r="U199" s="55">
        <v>0</v>
      </c>
      <c r="V199" s="55">
        <v>0</v>
      </c>
      <c r="W199" s="55"/>
      <c r="X199" s="55"/>
      <c r="Y199" s="55">
        <v>3164133</v>
      </c>
      <c r="Z199" s="28">
        <f t="shared" si="52"/>
        <v>3164133</v>
      </c>
      <c r="AA199" s="51"/>
      <c r="AB199" s="51"/>
      <c r="AC199" s="51"/>
      <c r="AD199" s="51"/>
      <c r="AE199" s="51"/>
      <c r="AF199" s="51"/>
      <c r="AG199" s="51"/>
      <c r="AH199" s="51"/>
      <c r="AI199" s="51"/>
      <c r="AJ199" s="51"/>
      <c r="AK199" s="51"/>
      <c r="AL199" s="51"/>
      <c r="AM199" s="51">
        <f>T199</f>
        <v>0</v>
      </c>
      <c r="AN199" s="51"/>
      <c r="AO199" s="51"/>
      <c r="AP199" s="51"/>
      <c r="AQ199" s="51"/>
      <c r="AR199" s="51"/>
      <c r="AS199" s="51"/>
      <c r="AT199" s="51"/>
      <c r="AU199" s="51"/>
      <c r="AV199" s="51"/>
      <c r="AW199" s="51"/>
      <c r="AX199" s="51"/>
      <c r="AY199" s="51"/>
      <c r="AZ199" s="51"/>
      <c r="BA199" s="51"/>
      <c r="BB199" s="51"/>
      <c r="BC199" s="60">
        <v>3164133</v>
      </c>
      <c r="BD199" s="51"/>
      <c r="BE199" s="51"/>
      <c r="BF199" s="51"/>
      <c r="BG199" s="51"/>
      <c r="BH199" s="51"/>
      <c r="BI199" s="51"/>
      <c r="BJ199" s="51"/>
      <c r="BK199" s="51"/>
      <c r="BL199" s="51"/>
      <c r="BM199" s="51"/>
      <c r="BN199" s="51"/>
      <c r="BO199" s="51"/>
      <c r="BP199" s="44">
        <f t="shared" si="57"/>
        <v>0</v>
      </c>
      <c r="BQ199" s="44">
        <f t="shared" si="59"/>
        <v>0</v>
      </c>
      <c r="BR199" s="44">
        <f t="shared" si="60"/>
        <v>0</v>
      </c>
      <c r="BS199" s="44">
        <f t="shared" si="61"/>
        <v>0</v>
      </c>
    </row>
    <row r="200" spans="1:71" s="50" customFormat="1" ht="135" customHeight="1" x14ac:dyDescent="0.25">
      <c r="A200" s="36" t="s">
        <v>1198</v>
      </c>
      <c r="B200" s="32" t="s">
        <v>1254</v>
      </c>
      <c r="C200" s="70" t="s">
        <v>1255</v>
      </c>
      <c r="D200" s="35" t="str">
        <f t="shared" si="51"/>
        <v>2.6-5.3</v>
      </c>
      <c r="E200" s="32" t="s">
        <v>1268</v>
      </c>
      <c r="F200" s="30" t="s">
        <v>167</v>
      </c>
      <c r="G200" s="49" t="s">
        <v>355</v>
      </c>
      <c r="H200" s="49" t="s">
        <v>356</v>
      </c>
      <c r="I200" s="71">
        <v>45931</v>
      </c>
      <c r="J200" s="59" t="s">
        <v>839</v>
      </c>
      <c r="K200" s="32" t="s">
        <v>1269</v>
      </c>
      <c r="L200" s="32" t="s">
        <v>1258</v>
      </c>
      <c r="M200" s="32" t="s">
        <v>1259</v>
      </c>
      <c r="N200" s="32" t="s">
        <v>1260</v>
      </c>
      <c r="O200" s="41" t="s">
        <v>1270</v>
      </c>
      <c r="P200" s="41" t="s">
        <v>1266</v>
      </c>
      <c r="Q200" s="93" t="s">
        <v>363</v>
      </c>
      <c r="R200" s="93" t="s">
        <v>415</v>
      </c>
      <c r="S200" s="93" t="s">
        <v>376</v>
      </c>
      <c r="T200" s="55">
        <v>0</v>
      </c>
      <c r="U200" s="55">
        <v>0</v>
      </c>
      <c r="V200" s="55">
        <v>0</v>
      </c>
      <c r="W200" s="55">
        <v>0</v>
      </c>
      <c r="X200" s="55">
        <v>0</v>
      </c>
      <c r="Y200" s="55">
        <v>0</v>
      </c>
      <c r="Z200" s="28">
        <f t="shared" si="52"/>
        <v>0</v>
      </c>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44">
        <f t="shared" si="57"/>
        <v>0</v>
      </c>
      <c r="BQ200" s="44">
        <f t="shared" si="59"/>
        <v>0</v>
      </c>
      <c r="BR200" s="44">
        <f t="shared" si="60"/>
        <v>0</v>
      </c>
      <c r="BS200" s="44">
        <f t="shared" si="61"/>
        <v>0</v>
      </c>
    </row>
    <row r="201" spans="1:71" s="50" customFormat="1" ht="122.85" customHeight="1" x14ac:dyDescent="0.25">
      <c r="A201" s="36" t="s">
        <v>1198</v>
      </c>
      <c r="B201" s="32" t="s">
        <v>1254</v>
      </c>
      <c r="C201" s="32" t="s">
        <v>1255</v>
      </c>
      <c r="D201" s="35" t="str">
        <f t="shared" si="51"/>
        <v>2.6-5.4</v>
      </c>
      <c r="E201" s="32" t="s">
        <v>1271</v>
      </c>
      <c r="F201" s="35" t="s">
        <v>167</v>
      </c>
      <c r="G201" s="34" t="s">
        <v>355</v>
      </c>
      <c r="H201" s="34" t="s">
        <v>356</v>
      </c>
      <c r="I201" s="71">
        <v>46235</v>
      </c>
      <c r="J201" s="71" t="s">
        <v>433</v>
      </c>
      <c r="K201" s="32" t="s">
        <v>1272</v>
      </c>
      <c r="L201" s="32" t="s">
        <v>1258</v>
      </c>
      <c r="M201" s="32" t="s">
        <v>1259</v>
      </c>
      <c r="N201" s="32" t="s">
        <v>1260</v>
      </c>
      <c r="O201" s="41" t="s">
        <v>1099</v>
      </c>
      <c r="P201" s="41" t="s">
        <v>1266</v>
      </c>
      <c r="Q201" s="93" t="s">
        <v>363</v>
      </c>
      <c r="R201" s="93" t="s">
        <v>363</v>
      </c>
      <c r="S201" s="93" t="s">
        <v>1273</v>
      </c>
      <c r="T201" s="55"/>
      <c r="U201" s="55">
        <v>0</v>
      </c>
      <c r="V201" s="55">
        <v>0</v>
      </c>
      <c r="W201" s="55"/>
      <c r="X201" s="55"/>
      <c r="Y201" s="55">
        <v>19194396</v>
      </c>
      <c r="Z201" s="28">
        <f t="shared" si="52"/>
        <v>19194396</v>
      </c>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60">
        <v>19194396</v>
      </c>
      <c r="BL201" s="51"/>
      <c r="BM201" s="51"/>
      <c r="BN201" s="51"/>
      <c r="BO201" s="51"/>
      <c r="BP201" s="44">
        <f t="shared" si="57"/>
        <v>0</v>
      </c>
      <c r="BQ201" s="44">
        <f t="shared" si="59"/>
        <v>0</v>
      </c>
      <c r="BR201" s="44">
        <f t="shared" si="60"/>
        <v>0</v>
      </c>
      <c r="BS201" s="44">
        <f t="shared" si="61"/>
        <v>0</v>
      </c>
    </row>
    <row r="202" spans="1:71" s="50" customFormat="1" ht="98.85" customHeight="1" x14ac:dyDescent="0.25">
      <c r="A202" s="36" t="s">
        <v>1198</v>
      </c>
      <c r="B202" s="32" t="s">
        <v>1254</v>
      </c>
      <c r="C202" s="32" t="s">
        <v>1255</v>
      </c>
      <c r="D202" s="35" t="str">
        <f t="shared" si="51"/>
        <v>2.6-5.5</v>
      </c>
      <c r="E202" s="32" t="s">
        <v>1274</v>
      </c>
      <c r="F202" s="35" t="s">
        <v>167</v>
      </c>
      <c r="G202" s="34" t="s">
        <v>355</v>
      </c>
      <c r="H202" s="34" t="s">
        <v>356</v>
      </c>
      <c r="I202" s="71">
        <v>45962</v>
      </c>
      <c r="J202" s="58" t="s">
        <v>839</v>
      </c>
      <c r="K202" s="32" t="s">
        <v>1275</v>
      </c>
      <c r="L202" s="32" t="s">
        <v>1258</v>
      </c>
      <c r="M202" s="32" t="s">
        <v>1259</v>
      </c>
      <c r="N202" s="32" t="s">
        <v>1260</v>
      </c>
      <c r="O202" s="41" t="s">
        <v>1099</v>
      </c>
      <c r="P202" s="41" t="s">
        <v>1266</v>
      </c>
      <c r="Q202" s="93" t="s">
        <v>363</v>
      </c>
      <c r="R202" s="93" t="s">
        <v>415</v>
      </c>
      <c r="S202" s="93" t="s">
        <v>376</v>
      </c>
      <c r="T202" s="55">
        <v>0</v>
      </c>
      <c r="U202" s="55">
        <v>0</v>
      </c>
      <c r="V202" s="55">
        <v>0</v>
      </c>
      <c r="W202" s="55">
        <v>0</v>
      </c>
      <c r="X202" s="55">
        <v>0</v>
      </c>
      <c r="Y202" s="55">
        <v>0</v>
      </c>
      <c r="Z202" s="28">
        <f t="shared" si="52"/>
        <v>0</v>
      </c>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44">
        <f t="shared" si="57"/>
        <v>0</v>
      </c>
      <c r="BQ202" s="44">
        <f t="shared" si="59"/>
        <v>0</v>
      </c>
      <c r="BR202" s="44">
        <f t="shared" si="60"/>
        <v>0</v>
      </c>
      <c r="BS202" s="44">
        <f t="shared" si="61"/>
        <v>0</v>
      </c>
    </row>
    <row r="203" spans="1:71" s="50" customFormat="1" ht="98.85" customHeight="1" x14ac:dyDescent="0.25">
      <c r="A203" s="36" t="s">
        <v>1198</v>
      </c>
      <c r="B203" s="32" t="s">
        <v>1254</v>
      </c>
      <c r="C203" s="32" t="s">
        <v>1255</v>
      </c>
      <c r="D203" s="35" t="str">
        <f t="shared" si="51"/>
        <v>2.6-5.6</v>
      </c>
      <c r="E203" s="32" t="s">
        <v>1276</v>
      </c>
      <c r="F203" s="35" t="s">
        <v>167</v>
      </c>
      <c r="G203" s="34" t="s">
        <v>291</v>
      </c>
      <c r="H203" s="49" t="s">
        <v>608</v>
      </c>
      <c r="I203" s="71">
        <v>45962</v>
      </c>
      <c r="J203" s="58" t="s">
        <v>492</v>
      </c>
      <c r="K203" s="73"/>
      <c r="L203" s="32" t="s">
        <v>1258</v>
      </c>
      <c r="M203" s="32" t="s">
        <v>1277</v>
      </c>
      <c r="N203" s="32" t="s">
        <v>1260</v>
      </c>
      <c r="O203" s="41" t="s">
        <v>1278</v>
      </c>
      <c r="P203" s="41" t="s">
        <v>1266</v>
      </c>
      <c r="Q203" s="93" t="s">
        <v>363</v>
      </c>
      <c r="R203" s="93" t="s">
        <v>415</v>
      </c>
      <c r="S203" s="93" t="s">
        <v>376</v>
      </c>
      <c r="T203" s="55">
        <v>0</v>
      </c>
      <c r="U203" s="55"/>
      <c r="V203" s="55">
        <v>0</v>
      </c>
      <c r="W203" s="55"/>
      <c r="X203" s="55"/>
      <c r="Y203" s="55"/>
      <c r="Z203" s="28">
        <f t="shared" si="52"/>
        <v>0</v>
      </c>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44">
        <f t="shared" si="57"/>
        <v>0</v>
      </c>
      <c r="BQ203" s="44">
        <f t="shared" si="59"/>
        <v>0</v>
      </c>
      <c r="BR203" s="44">
        <f t="shared" si="60"/>
        <v>0</v>
      </c>
      <c r="BS203" s="44">
        <f t="shared" si="61"/>
        <v>0</v>
      </c>
    </row>
    <row r="204" spans="1:71" s="50" customFormat="1" ht="201.75" customHeight="1" x14ac:dyDescent="0.25">
      <c r="A204" s="36" t="s">
        <v>1198</v>
      </c>
      <c r="B204" s="32" t="s">
        <v>1254</v>
      </c>
      <c r="C204" s="32" t="s">
        <v>1279</v>
      </c>
      <c r="D204" s="35" t="str">
        <f t="shared" si="51"/>
        <v>2.6-5.7</v>
      </c>
      <c r="E204" s="32" t="s">
        <v>1280</v>
      </c>
      <c r="F204" s="35" t="s">
        <v>167</v>
      </c>
      <c r="G204" s="34" t="s">
        <v>291</v>
      </c>
      <c r="H204" s="49" t="s">
        <v>608</v>
      </c>
      <c r="I204" s="71">
        <v>45992</v>
      </c>
      <c r="J204" s="58" t="s">
        <v>1281</v>
      </c>
      <c r="K204" s="42"/>
      <c r="L204" s="32" t="s">
        <v>1258</v>
      </c>
      <c r="M204" s="32" t="s">
        <v>1282</v>
      </c>
      <c r="N204" s="32" t="s">
        <v>1260</v>
      </c>
      <c r="O204" s="41" t="s">
        <v>1283</v>
      </c>
      <c r="P204" s="41" t="s">
        <v>1266</v>
      </c>
      <c r="Q204" s="93" t="s">
        <v>455</v>
      </c>
      <c r="R204" s="93" t="s">
        <v>456</v>
      </c>
      <c r="S204" s="93" t="s">
        <v>1284</v>
      </c>
      <c r="T204" s="55">
        <v>7814880</v>
      </c>
      <c r="U204" s="55"/>
      <c r="V204" s="55">
        <v>7814880</v>
      </c>
      <c r="W204" s="55"/>
      <c r="X204" s="55"/>
      <c r="Y204" s="55"/>
      <c r="Z204" s="28">
        <f t="shared" si="52"/>
        <v>15629760</v>
      </c>
      <c r="AA204" s="51"/>
      <c r="AB204" s="51"/>
      <c r="AC204" s="51"/>
      <c r="AD204" s="51"/>
      <c r="AE204" s="51"/>
      <c r="AF204" s="51"/>
      <c r="AG204" s="51"/>
      <c r="AH204" s="51"/>
      <c r="AI204" s="51"/>
      <c r="AJ204" s="51"/>
      <c r="AK204" s="51"/>
      <c r="AL204" s="51"/>
      <c r="AM204" s="51"/>
      <c r="AN204" s="51"/>
      <c r="AO204" s="51"/>
      <c r="AP204" s="51">
        <f>+T204</f>
        <v>7814880</v>
      </c>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44">
        <f t="shared" si="57"/>
        <v>0</v>
      </c>
      <c r="BQ204" s="44">
        <f t="shared" si="59"/>
        <v>0</v>
      </c>
      <c r="BR204" s="44">
        <f t="shared" si="60"/>
        <v>0</v>
      </c>
      <c r="BS204" s="44">
        <f t="shared" si="61"/>
        <v>0</v>
      </c>
    </row>
    <row r="205" spans="1:71" s="50" customFormat="1" ht="201.75" customHeight="1" x14ac:dyDescent="0.25">
      <c r="A205" s="36" t="s">
        <v>1198</v>
      </c>
      <c r="B205" s="32" t="s">
        <v>1254</v>
      </c>
      <c r="C205" s="32" t="s">
        <v>1279</v>
      </c>
      <c r="D205" s="35" t="str">
        <f t="shared" si="51"/>
        <v>2.6-5.8</v>
      </c>
      <c r="E205" s="78" t="s">
        <v>1285</v>
      </c>
      <c r="F205" s="35" t="s">
        <v>167</v>
      </c>
      <c r="G205" s="34" t="s">
        <v>355</v>
      </c>
      <c r="H205" s="34" t="s">
        <v>356</v>
      </c>
      <c r="I205" s="71">
        <v>45962</v>
      </c>
      <c r="J205" s="33">
        <v>46022</v>
      </c>
      <c r="K205" s="38"/>
      <c r="L205" s="32" t="s">
        <v>1258</v>
      </c>
      <c r="M205" s="38"/>
      <c r="N205" s="32" t="s">
        <v>1260</v>
      </c>
      <c r="O205" s="30" t="s">
        <v>556</v>
      </c>
      <c r="P205" s="41" t="s">
        <v>1266</v>
      </c>
      <c r="Q205" s="93" t="s">
        <v>363</v>
      </c>
      <c r="R205" s="93" t="s">
        <v>415</v>
      </c>
      <c r="S205" s="30" t="s">
        <v>1286</v>
      </c>
      <c r="T205" s="108">
        <v>25291875</v>
      </c>
      <c r="U205" s="108">
        <v>0</v>
      </c>
      <c r="V205" s="108">
        <v>25291875</v>
      </c>
      <c r="W205" s="55"/>
      <c r="X205" s="55"/>
      <c r="Y205" s="55"/>
      <c r="Z205" s="28">
        <f t="shared" si="52"/>
        <v>50583750</v>
      </c>
      <c r="AA205" s="45"/>
      <c r="AB205" s="45"/>
      <c r="AC205" s="45"/>
      <c r="AD205" s="45"/>
      <c r="AE205" s="45"/>
      <c r="AF205" s="45"/>
      <c r="AG205" s="51">
        <f>+T205</f>
        <v>25291875</v>
      </c>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44">
        <f t="shared" si="57"/>
        <v>0</v>
      </c>
      <c r="BQ205" s="44">
        <f t="shared" si="59"/>
        <v>0</v>
      </c>
      <c r="BR205" s="44">
        <f t="shared" si="60"/>
        <v>0</v>
      </c>
      <c r="BS205" s="44">
        <f t="shared" si="61"/>
        <v>0</v>
      </c>
    </row>
    <row r="206" spans="1:71" s="50" customFormat="1" ht="201.75" customHeight="1" x14ac:dyDescent="0.25">
      <c r="A206" s="36" t="s">
        <v>1198</v>
      </c>
      <c r="B206" s="32" t="s">
        <v>1254</v>
      </c>
      <c r="C206" s="32" t="s">
        <v>1279</v>
      </c>
      <c r="D206" s="35" t="str">
        <f t="shared" si="51"/>
        <v>2.6-5.9</v>
      </c>
      <c r="E206" s="78" t="s">
        <v>1287</v>
      </c>
      <c r="F206" s="35" t="s">
        <v>167</v>
      </c>
      <c r="G206" s="34" t="s">
        <v>355</v>
      </c>
      <c r="H206" s="34" t="s">
        <v>356</v>
      </c>
      <c r="I206" s="71">
        <v>46143</v>
      </c>
      <c r="J206" s="33">
        <v>46203</v>
      </c>
      <c r="K206" s="32" t="s">
        <v>1288</v>
      </c>
      <c r="L206" s="32" t="s">
        <v>1258</v>
      </c>
      <c r="M206" s="38"/>
      <c r="N206" s="32" t="s">
        <v>1260</v>
      </c>
      <c r="O206" s="30" t="s">
        <v>1289</v>
      </c>
      <c r="P206" s="41" t="s">
        <v>1266</v>
      </c>
      <c r="Q206" s="93" t="s">
        <v>363</v>
      </c>
      <c r="R206" s="93" t="s">
        <v>415</v>
      </c>
      <c r="S206" s="30" t="s">
        <v>1290</v>
      </c>
      <c r="T206" s="108"/>
      <c r="U206" s="108">
        <v>5998290</v>
      </c>
      <c r="V206" s="108">
        <v>5998290</v>
      </c>
      <c r="W206" s="55"/>
      <c r="X206" s="55"/>
      <c r="Y206" s="55"/>
      <c r="Z206" s="28">
        <f t="shared" si="52"/>
        <v>11996580</v>
      </c>
      <c r="AA206" s="45"/>
      <c r="AB206" s="45"/>
      <c r="AC206" s="45"/>
      <c r="AD206" s="45"/>
      <c r="AE206" s="45"/>
      <c r="AF206" s="45"/>
      <c r="AG206" s="51"/>
      <c r="AH206" s="51"/>
      <c r="AI206" s="51"/>
      <c r="AJ206" s="51"/>
      <c r="AK206" s="51"/>
      <c r="AL206" s="51"/>
      <c r="AM206" s="51"/>
      <c r="AN206" s="51"/>
      <c r="AO206" s="51"/>
      <c r="AP206" s="51"/>
      <c r="AQ206" s="51"/>
      <c r="AR206" s="51"/>
      <c r="AS206" s="51"/>
      <c r="AT206" s="51"/>
      <c r="AU206" s="51"/>
      <c r="AV206" s="60">
        <v>5998290</v>
      </c>
      <c r="AW206" s="51"/>
      <c r="AX206" s="51"/>
      <c r="AY206" s="51"/>
      <c r="AZ206" s="51"/>
      <c r="BA206" s="51"/>
      <c r="BB206" s="51"/>
      <c r="BC206" s="51"/>
      <c r="BD206" s="51"/>
      <c r="BE206" s="51"/>
      <c r="BF206" s="51"/>
      <c r="BG206" s="51"/>
      <c r="BH206" s="51"/>
      <c r="BI206" s="51"/>
      <c r="BJ206" s="51"/>
      <c r="BK206" s="51"/>
      <c r="BL206" s="51"/>
      <c r="BM206" s="51"/>
      <c r="BN206" s="51"/>
      <c r="BO206" s="51"/>
      <c r="BP206" s="44"/>
      <c r="BQ206" s="44"/>
      <c r="BR206" s="44"/>
      <c r="BS206" s="44"/>
    </row>
    <row r="207" spans="1:71" s="105" customFormat="1" ht="201.75" customHeight="1" x14ac:dyDescent="0.25">
      <c r="A207" s="103" t="s">
        <v>1198</v>
      </c>
      <c r="B207" s="78" t="s">
        <v>1291</v>
      </c>
      <c r="C207" s="98" t="s">
        <v>1292</v>
      </c>
      <c r="D207" s="35" t="str">
        <f t="shared" ref="D207:D210" si="62">TRIM(_xlfn.TEXTBEFORE(E207,":"))</f>
        <v>2.6-6.1</v>
      </c>
      <c r="E207" s="78" t="s">
        <v>1293</v>
      </c>
      <c r="F207" s="102" t="s">
        <v>167</v>
      </c>
      <c r="G207" s="101" t="s">
        <v>355</v>
      </c>
      <c r="H207" s="112" t="s">
        <v>477</v>
      </c>
      <c r="I207" s="100">
        <v>46026</v>
      </c>
      <c r="J207" s="99">
        <v>46203</v>
      </c>
      <c r="K207" s="98" t="s">
        <v>1294</v>
      </c>
      <c r="L207" s="98" t="s">
        <v>1294</v>
      </c>
      <c r="M207" s="111"/>
      <c r="N207" s="98" t="s">
        <v>1295</v>
      </c>
      <c r="O207" s="109" t="s">
        <v>887</v>
      </c>
      <c r="P207" s="109" t="s">
        <v>887</v>
      </c>
      <c r="Q207" s="110" t="s">
        <v>363</v>
      </c>
      <c r="R207" s="110" t="s">
        <v>363</v>
      </c>
      <c r="S207" s="109" t="s">
        <v>1296</v>
      </c>
      <c r="T207" s="108">
        <v>0</v>
      </c>
      <c r="U207" s="108">
        <v>0</v>
      </c>
      <c r="V207" s="108">
        <v>0</v>
      </c>
      <c r="W207" s="55"/>
      <c r="X207" s="55">
        <v>21085622</v>
      </c>
      <c r="Y207" s="55"/>
      <c r="Z207" s="28">
        <f t="shared" ref="Z207:Z210" si="63">SUM(T207:Y207)</f>
        <v>21085622</v>
      </c>
      <c r="AA207" s="107"/>
      <c r="AB207" s="107"/>
      <c r="AC207" s="107"/>
      <c r="AD207" s="107"/>
      <c r="AE207" s="107"/>
      <c r="AF207" s="107"/>
      <c r="AG207" s="106"/>
      <c r="AH207" s="106"/>
      <c r="AI207" s="106"/>
      <c r="AJ207" s="106"/>
      <c r="AK207" s="106"/>
      <c r="AL207" s="106"/>
      <c r="AM207" s="106"/>
      <c r="AN207" s="106"/>
      <c r="AO207" s="106"/>
      <c r="AP207" s="106"/>
      <c r="AQ207" s="106"/>
      <c r="AR207" s="106"/>
      <c r="AS207" s="51"/>
      <c r="AT207" s="51"/>
      <c r="AU207" s="51"/>
      <c r="AV207" s="51"/>
      <c r="AW207" s="51"/>
      <c r="AX207" s="60">
        <v>19232272</v>
      </c>
      <c r="AY207" s="51"/>
      <c r="AZ207" s="51"/>
      <c r="BA207" s="51"/>
      <c r="BB207" s="51"/>
      <c r="BC207" s="51"/>
      <c r="BD207" s="51"/>
      <c r="BE207" s="51"/>
      <c r="BF207" s="51"/>
      <c r="BG207" s="51"/>
      <c r="BH207" s="51"/>
      <c r="BI207" s="51"/>
      <c r="BJ207" s="51"/>
      <c r="BK207" s="51"/>
      <c r="BL207" s="51"/>
      <c r="BM207" s="51"/>
      <c r="BN207" s="51"/>
      <c r="BO207" s="51"/>
      <c r="BP207" s="85">
        <f>T207-SUM(AA207,AD207,AG207,AJ207,AM207,AP207)</f>
        <v>0</v>
      </c>
      <c r="BQ207" s="85">
        <f>U207-SUM(AS207,AV207,AZ207,BD207,BH207,BL207)</f>
        <v>0</v>
      </c>
      <c r="BR207" s="85">
        <f t="shared" ref="BR207:BS209" si="64">W207-SUM(AB207,AE207,AH207,AK207,AN207,AQ207,AT207,AW207,BA207,BE207,BI207,BM207)</f>
        <v>0</v>
      </c>
      <c r="BS207" s="85">
        <f t="shared" si="64"/>
        <v>1853350</v>
      </c>
    </row>
    <row r="208" spans="1:71" s="105" customFormat="1" ht="163.35" customHeight="1" x14ac:dyDescent="0.25">
      <c r="A208" s="103" t="s">
        <v>1198</v>
      </c>
      <c r="B208" s="78" t="s">
        <v>1297</v>
      </c>
      <c r="C208" s="98" t="s">
        <v>1298</v>
      </c>
      <c r="D208" s="35" t="str">
        <f t="shared" si="62"/>
        <v>2.6-7.1</v>
      </c>
      <c r="E208" s="78" t="s">
        <v>1299</v>
      </c>
      <c r="F208" s="102" t="s">
        <v>167</v>
      </c>
      <c r="G208" s="101" t="s">
        <v>355</v>
      </c>
      <c r="H208" s="101" t="s">
        <v>419</v>
      </c>
      <c r="I208" s="100">
        <v>46024</v>
      </c>
      <c r="J208" s="99">
        <v>46233</v>
      </c>
      <c r="K208" s="98" t="s">
        <v>1300</v>
      </c>
      <c r="L208" s="98" t="s">
        <v>1300</v>
      </c>
      <c r="M208" s="111"/>
      <c r="N208" s="98"/>
      <c r="O208" s="109" t="s">
        <v>887</v>
      </c>
      <c r="P208" s="109" t="s">
        <v>887</v>
      </c>
      <c r="Q208" s="110" t="s">
        <v>363</v>
      </c>
      <c r="R208" s="110" t="s">
        <v>363</v>
      </c>
      <c r="S208" s="109" t="s">
        <v>1301</v>
      </c>
      <c r="T208" s="108">
        <v>0</v>
      </c>
      <c r="U208" s="108">
        <v>0</v>
      </c>
      <c r="V208" s="108">
        <v>0</v>
      </c>
      <c r="W208" s="55"/>
      <c r="X208" s="55">
        <v>14801230</v>
      </c>
      <c r="Y208" s="55"/>
      <c r="Z208" s="28">
        <f t="shared" si="63"/>
        <v>14801230</v>
      </c>
      <c r="AA208" s="107"/>
      <c r="AB208" s="107"/>
      <c r="AC208" s="107"/>
      <c r="AD208" s="107"/>
      <c r="AE208" s="107"/>
      <c r="AF208" s="107"/>
      <c r="AG208" s="106"/>
      <c r="AH208" s="106"/>
      <c r="AI208" s="106"/>
      <c r="AJ208" s="106"/>
      <c r="AK208" s="106"/>
      <c r="AL208" s="106"/>
      <c r="AM208" s="106"/>
      <c r="AN208" s="106"/>
      <c r="AO208" s="106">
        <f>+X208</f>
        <v>14801230</v>
      </c>
      <c r="AP208" s="106"/>
      <c r="AQ208" s="106"/>
      <c r="AR208" s="106"/>
      <c r="AS208" s="51"/>
      <c r="AT208" s="51"/>
      <c r="AU208" s="51"/>
      <c r="AV208" s="51"/>
      <c r="AW208" s="51"/>
      <c r="AX208" s="51"/>
      <c r="AY208" s="51"/>
      <c r="AZ208" s="51"/>
      <c r="BA208" s="51"/>
      <c r="BB208" s="51"/>
      <c r="BC208" s="51"/>
      <c r="BD208" s="51"/>
      <c r="BE208" s="51"/>
      <c r="BF208" s="60">
        <v>14801230</v>
      </c>
      <c r="BG208" s="51"/>
      <c r="BH208" s="51"/>
      <c r="BI208" s="51"/>
      <c r="BJ208" s="51"/>
      <c r="BK208" s="51"/>
      <c r="BL208" s="51"/>
      <c r="BM208" s="51"/>
      <c r="BN208" s="51"/>
      <c r="BO208" s="51"/>
      <c r="BP208" s="85">
        <f>T208-SUM(AA208,AD208,AG208,AJ208,AM208,AP208)</f>
        <v>0</v>
      </c>
      <c r="BQ208" s="85">
        <f>U208-SUM(AS208,AV208,AZ208,BD208,BH208,BL208)</f>
        <v>0</v>
      </c>
      <c r="BR208" s="85">
        <f t="shared" si="64"/>
        <v>0</v>
      </c>
      <c r="BS208" s="85">
        <f t="shared" si="64"/>
        <v>-14801230</v>
      </c>
    </row>
    <row r="209" spans="1:71" s="94" customFormat="1" ht="163.35" customHeight="1" x14ac:dyDescent="0.25">
      <c r="A209" s="103" t="s">
        <v>1198</v>
      </c>
      <c r="B209" s="98" t="s">
        <v>1302</v>
      </c>
      <c r="C209" s="98" t="s">
        <v>1303</v>
      </c>
      <c r="D209" s="35" t="str">
        <f t="shared" si="62"/>
        <v>2.6-8.1</v>
      </c>
      <c r="E209" s="78" t="s">
        <v>1304</v>
      </c>
      <c r="F209" s="102" t="s">
        <v>167</v>
      </c>
      <c r="G209" s="101" t="s">
        <v>291</v>
      </c>
      <c r="H209" s="34" t="s">
        <v>477</v>
      </c>
      <c r="I209" s="100">
        <v>46030</v>
      </c>
      <c r="J209" s="99">
        <v>46264</v>
      </c>
      <c r="K209" s="98" t="s">
        <v>1305</v>
      </c>
      <c r="L209" s="98" t="s">
        <v>1305</v>
      </c>
      <c r="M209" s="197" t="s">
        <v>1306</v>
      </c>
      <c r="N209" s="197" t="s">
        <v>1307</v>
      </c>
      <c r="O209" s="97" t="s">
        <v>1308</v>
      </c>
      <c r="P209" s="97" t="s">
        <v>1308</v>
      </c>
      <c r="Q209" s="77" t="s">
        <v>363</v>
      </c>
      <c r="R209" s="77" t="s">
        <v>1309</v>
      </c>
      <c r="S209" s="77" t="s">
        <v>1310</v>
      </c>
      <c r="T209" s="29">
        <v>0</v>
      </c>
      <c r="U209" s="29">
        <v>0</v>
      </c>
      <c r="V209" s="29">
        <v>0</v>
      </c>
      <c r="W209" s="29"/>
      <c r="X209" s="29">
        <v>5486513</v>
      </c>
      <c r="Y209" s="29"/>
      <c r="Z209" s="28">
        <f t="shared" si="63"/>
        <v>5486513</v>
      </c>
      <c r="AA209" s="96"/>
      <c r="AB209" s="96"/>
      <c r="AC209" s="96"/>
      <c r="AD209" s="96"/>
      <c r="AE209" s="96"/>
      <c r="AF209" s="96"/>
      <c r="AG209" s="96"/>
      <c r="AH209" s="96"/>
      <c r="AI209" s="96"/>
      <c r="AJ209" s="96"/>
      <c r="AK209" s="96"/>
      <c r="AL209" s="96"/>
      <c r="AM209" s="96"/>
      <c r="AN209" s="96"/>
      <c r="AO209" s="96"/>
      <c r="AP209" s="96"/>
      <c r="AQ209" s="96"/>
      <c r="AR209" s="96"/>
      <c r="AS209" s="95"/>
      <c r="AT209" s="95"/>
      <c r="AU209" s="95"/>
      <c r="AV209" s="95"/>
      <c r="AW209" s="95"/>
      <c r="AX209" s="95"/>
      <c r="AY209" s="95"/>
      <c r="AZ209" s="95"/>
      <c r="BA209" s="95"/>
      <c r="BB209" s="95"/>
      <c r="BC209" s="95"/>
      <c r="BD209" s="95"/>
      <c r="BE209" s="95"/>
      <c r="BF209" s="95"/>
      <c r="BG209" s="95"/>
      <c r="BH209" s="95"/>
      <c r="BI209" s="95"/>
      <c r="BJ209" s="104">
        <v>5486513</v>
      </c>
      <c r="BK209" s="95"/>
      <c r="BL209" s="95"/>
      <c r="BM209" s="95"/>
      <c r="BN209" s="95"/>
      <c r="BO209" s="95"/>
      <c r="BP209" s="85">
        <f>T209-SUM(AA209,AD209,AG209,AJ209,AM209,AP209)</f>
        <v>0</v>
      </c>
      <c r="BQ209" s="85">
        <f>U209-SUM(AS209,AV209,AZ209,BD209,BH209,BL209)</f>
        <v>0</v>
      </c>
      <c r="BR209" s="85">
        <f t="shared" si="64"/>
        <v>0</v>
      </c>
      <c r="BS209" s="85">
        <f t="shared" si="64"/>
        <v>0</v>
      </c>
    </row>
    <row r="210" spans="1:71" s="94" customFormat="1" ht="165" x14ac:dyDescent="0.25">
      <c r="A210" s="103" t="s">
        <v>1198</v>
      </c>
      <c r="B210" s="32" t="s">
        <v>1311</v>
      </c>
      <c r="C210" s="32" t="s">
        <v>1312</v>
      </c>
      <c r="D210" s="35" t="str">
        <f t="shared" si="62"/>
        <v>2.6-9.1</v>
      </c>
      <c r="E210" s="32" t="s">
        <v>1313</v>
      </c>
      <c r="F210" s="102" t="s">
        <v>229</v>
      </c>
      <c r="G210" s="101" t="s">
        <v>505</v>
      </c>
      <c r="H210" s="101"/>
      <c r="I210" s="100">
        <v>46143</v>
      </c>
      <c r="J210" s="99">
        <v>46264</v>
      </c>
      <c r="K210" s="98" t="s">
        <v>1314</v>
      </c>
      <c r="L210" s="98" t="s">
        <v>1315</v>
      </c>
      <c r="M210" s="197"/>
      <c r="N210" s="62" t="s">
        <v>1316</v>
      </c>
      <c r="O210" s="97" t="s">
        <v>1317</v>
      </c>
      <c r="P210" s="97" t="s">
        <v>1317</v>
      </c>
      <c r="Q210" s="31" t="s">
        <v>363</v>
      </c>
      <c r="R210" s="77" t="s">
        <v>363</v>
      </c>
      <c r="S210" s="77" t="s">
        <v>376</v>
      </c>
      <c r="T210" s="29">
        <v>0</v>
      </c>
      <c r="U210" s="29">
        <v>0</v>
      </c>
      <c r="V210" s="29">
        <v>0</v>
      </c>
      <c r="W210" s="29"/>
      <c r="X210" s="29"/>
      <c r="Y210" s="29"/>
      <c r="Z210" s="28">
        <f t="shared" si="63"/>
        <v>0</v>
      </c>
      <c r="AA210" s="96"/>
      <c r="AB210" s="96"/>
      <c r="AC210" s="96"/>
      <c r="AD210" s="96"/>
      <c r="AE210" s="96"/>
      <c r="AF210" s="96"/>
      <c r="AG210" s="96"/>
      <c r="AH210" s="96"/>
      <c r="AI210" s="96"/>
      <c r="AJ210" s="96"/>
      <c r="AK210" s="96"/>
      <c r="AL210" s="96"/>
      <c r="AM210" s="96"/>
      <c r="AN210" s="96"/>
      <c r="AO210" s="96"/>
      <c r="AP210" s="96"/>
      <c r="AQ210" s="96"/>
      <c r="AR210" s="96"/>
      <c r="AS210" s="95"/>
      <c r="AT210" s="95"/>
      <c r="AU210" s="95"/>
      <c r="AV210" s="95"/>
      <c r="AW210" s="95"/>
      <c r="AX210" s="95"/>
      <c r="AY210" s="95"/>
      <c r="AZ210" s="95"/>
      <c r="BA210" s="95"/>
      <c r="BB210" s="95"/>
      <c r="BC210" s="95"/>
      <c r="BD210" s="95"/>
      <c r="BE210" s="95"/>
      <c r="BF210" s="95"/>
      <c r="BG210" s="95"/>
      <c r="BH210" s="95"/>
      <c r="BI210" s="95"/>
      <c r="BJ210" s="95"/>
      <c r="BK210" s="95"/>
      <c r="BL210" s="95"/>
      <c r="BM210" s="95"/>
      <c r="BN210" s="95"/>
      <c r="BO210" s="95"/>
      <c r="BP210" s="85"/>
      <c r="BQ210" s="85"/>
      <c r="BR210" s="85"/>
      <c r="BS210" s="85"/>
    </row>
    <row r="211" spans="1:71" s="84" customFormat="1" ht="14.85" customHeight="1" x14ac:dyDescent="0.25">
      <c r="A211" s="92" t="s">
        <v>1318</v>
      </c>
      <c r="B211" s="90"/>
      <c r="C211" s="90"/>
      <c r="D211" s="89"/>
      <c r="E211" s="90"/>
      <c r="F211" s="89"/>
      <c r="G211" s="91"/>
      <c r="H211" s="91"/>
      <c r="I211" s="89"/>
      <c r="J211" s="89"/>
      <c r="K211" s="90"/>
      <c r="L211" s="90"/>
      <c r="M211" s="90"/>
      <c r="N211" s="90"/>
      <c r="O211" s="89"/>
      <c r="P211" s="89"/>
      <c r="Q211" s="89"/>
      <c r="R211" s="89"/>
      <c r="S211" s="89"/>
      <c r="T211" s="88">
        <f t="shared" ref="T211:AR211" si="65">SUM(T212:T218)</f>
        <v>42237730</v>
      </c>
      <c r="U211" s="88">
        <f t="shared" si="65"/>
        <v>123062796</v>
      </c>
      <c r="V211" s="88">
        <f t="shared" si="65"/>
        <v>165300526</v>
      </c>
      <c r="W211" s="88">
        <f t="shared" si="65"/>
        <v>0</v>
      </c>
      <c r="X211" s="88">
        <f t="shared" si="65"/>
        <v>0</v>
      </c>
      <c r="Y211" s="88">
        <f t="shared" si="65"/>
        <v>12560972</v>
      </c>
      <c r="Z211" s="88">
        <f t="shared" si="65"/>
        <v>343162024</v>
      </c>
      <c r="AA211" s="87">
        <f t="shared" si="65"/>
        <v>0</v>
      </c>
      <c r="AB211" s="87">
        <f t="shared" si="65"/>
        <v>0</v>
      </c>
      <c r="AC211" s="87">
        <f t="shared" si="65"/>
        <v>0</v>
      </c>
      <c r="AD211" s="87">
        <f t="shared" si="65"/>
        <v>0</v>
      </c>
      <c r="AE211" s="87">
        <f t="shared" si="65"/>
        <v>0</v>
      </c>
      <c r="AF211" s="87">
        <f t="shared" si="65"/>
        <v>0</v>
      </c>
      <c r="AG211" s="87">
        <f t="shared" si="65"/>
        <v>7731000</v>
      </c>
      <c r="AH211" s="87">
        <f t="shared" si="65"/>
        <v>0</v>
      </c>
      <c r="AI211" s="87">
        <f t="shared" si="65"/>
        <v>0</v>
      </c>
      <c r="AJ211" s="87">
        <f t="shared" si="65"/>
        <v>0</v>
      </c>
      <c r="AK211" s="87">
        <f t="shared" si="65"/>
        <v>0</v>
      </c>
      <c r="AL211" s="87">
        <f t="shared" si="65"/>
        <v>0</v>
      </c>
      <c r="AM211" s="87">
        <f t="shared" si="65"/>
        <v>33978730</v>
      </c>
      <c r="AN211" s="87">
        <f t="shared" si="65"/>
        <v>0</v>
      </c>
      <c r="AO211" s="87">
        <f t="shared" si="65"/>
        <v>0</v>
      </c>
      <c r="AP211" s="87">
        <f t="shared" si="65"/>
        <v>528000</v>
      </c>
      <c r="AQ211" s="87">
        <f t="shared" si="65"/>
        <v>0</v>
      </c>
      <c r="AR211" s="87">
        <f t="shared" si="65"/>
        <v>0</v>
      </c>
      <c r="AS211" s="86"/>
      <c r="AT211" s="86"/>
      <c r="AU211" s="86"/>
      <c r="AV211" s="86"/>
      <c r="AW211" s="86"/>
      <c r="AX211" s="86"/>
      <c r="AY211" s="86"/>
      <c r="AZ211" s="86"/>
      <c r="BA211" s="86"/>
      <c r="BB211" s="86"/>
      <c r="BC211" s="86"/>
      <c r="BD211" s="86"/>
      <c r="BE211" s="86"/>
      <c r="BF211" s="86"/>
      <c r="BG211" s="86"/>
      <c r="BH211" s="86"/>
      <c r="BI211" s="86"/>
      <c r="BJ211" s="86"/>
      <c r="BK211" s="86"/>
      <c r="BL211" s="86"/>
      <c r="BM211" s="86"/>
      <c r="BN211" s="86"/>
      <c r="BO211" s="86"/>
      <c r="BP211" s="85">
        <f t="shared" ref="BP211:BP228" si="66">T211-SUM(AA211,AD211,AG211,AJ211,AM211,AP211)</f>
        <v>0</v>
      </c>
      <c r="BQ211" s="85">
        <f t="shared" ref="BQ211:BQ228" si="67">U211-SUM(AS211,AV211,AZ211,BD211,BH211,BL211)</f>
        <v>123062796</v>
      </c>
      <c r="BR211" s="85">
        <f t="shared" ref="BR211:BR228" si="68">W211-SUM(AB211,AE211,AH211,AK211,AN211,AQ211,AT211,AW211,BA211,BE211,BI211,BM211)</f>
        <v>0</v>
      </c>
      <c r="BS211" s="85">
        <f t="shared" ref="BS211:BS228" si="69">X211-SUM(AC211,AF211,AI211,AL211,AO211,AR211,AU211,AX211,BB211,BF211,BJ211,BN211)</f>
        <v>0</v>
      </c>
    </row>
    <row r="212" spans="1:71" s="50" customFormat="1" ht="72" customHeight="1" x14ac:dyDescent="0.25">
      <c r="A212" s="36" t="s">
        <v>1319</v>
      </c>
      <c r="B212" s="32" t="s">
        <v>1320</v>
      </c>
      <c r="C212" s="32" t="s">
        <v>1321</v>
      </c>
      <c r="D212" s="35" t="str">
        <f t="shared" ref="D212:D218" si="70">TRIM(_xlfn.TEXTBEFORE(E212,":"))</f>
        <v>3.1-1.1</v>
      </c>
      <c r="E212" s="32" t="s">
        <v>1322</v>
      </c>
      <c r="F212" s="30" t="s">
        <v>167</v>
      </c>
      <c r="G212" s="49" t="s">
        <v>291</v>
      </c>
      <c r="H212" s="49" t="s">
        <v>409</v>
      </c>
      <c r="I212" s="71">
        <v>45931</v>
      </c>
      <c r="J212" s="58" t="s">
        <v>839</v>
      </c>
      <c r="K212" s="73"/>
      <c r="L212" s="32" t="s">
        <v>1323</v>
      </c>
      <c r="M212" s="32" t="s">
        <v>1068</v>
      </c>
      <c r="N212" s="32" t="s">
        <v>1324</v>
      </c>
      <c r="O212" s="41" t="s">
        <v>1325</v>
      </c>
      <c r="P212" s="41" t="s">
        <v>1326</v>
      </c>
      <c r="Q212" s="30" t="s">
        <v>455</v>
      </c>
      <c r="R212" s="30" t="s">
        <v>1072</v>
      </c>
      <c r="S212" s="30" t="s">
        <v>376</v>
      </c>
      <c r="T212" s="55">
        <v>0</v>
      </c>
      <c r="U212" s="55"/>
      <c r="V212" s="55">
        <v>0</v>
      </c>
      <c r="W212" s="55"/>
      <c r="X212" s="55"/>
      <c r="Y212" s="55"/>
      <c r="Z212" s="28">
        <f t="shared" ref="Z212:Z218" si="71">SUM(T212:Y212)</f>
        <v>0</v>
      </c>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44">
        <f t="shared" si="66"/>
        <v>0</v>
      </c>
      <c r="BQ212" s="44">
        <f t="shared" si="67"/>
        <v>0</v>
      </c>
      <c r="BR212" s="44">
        <f t="shared" si="68"/>
        <v>0</v>
      </c>
      <c r="BS212" s="44">
        <f t="shared" si="69"/>
        <v>0</v>
      </c>
    </row>
    <row r="213" spans="1:71" s="50" customFormat="1" ht="72" customHeight="1" x14ac:dyDescent="0.25">
      <c r="A213" s="36" t="s">
        <v>1319</v>
      </c>
      <c r="B213" s="32" t="s">
        <v>1320</v>
      </c>
      <c r="C213" s="32" t="s">
        <v>1321</v>
      </c>
      <c r="D213" s="35" t="str">
        <f t="shared" si="70"/>
        <v>3.1-1.2</v>
      </c>
      <c r="E213" s="32" t="s">
        <v>1327</v>
      </c>
      <c r="F213" s="30" t="s">
        <v>167</v>
      </c>
      <c r="G213" s="49" t="s">
        <v>291</v>
      </c>
      <c r="H213" s="49" t="s">
        <v>409</v>
      </c>
      <c r="I213" s="71">
        <v>45931</v>
      </c>
      <c r="J213" s="58" t="s">
        <v>839</v>
      </c>
      <c r="K213" s="73"/>
      <c r="L213" s="32" t="s">
        <v>1323</v>
      </c>
      <c r="M213" s="32" t="s">
        <v>1068</v>
      </c>
      <c r="N213" s="32" t="s">
        <v>1324</v>
      </c>
      <c r="O213" s="41" t="s">
        <v>1328</v>
      </c>
      <c r="P213" s="41" t="s">
        <v>1326</v>
      </c>
      <c r="Q213" s="30" t="s">
        <v>455</v>
      </c>
      <c r="R213" s="30" t="s">
        <v>1072</v>
      </c>
      <c r="S213" s="30" t="s">
        <v>376</v>
      </c>
      <c r="T213" s="55">
        <v>0</v>
      </c>
      <c r="U213" s="55"/>
      <c r="V213" s="55">
        <v>0</v>
      </c>
      <c r="W213" s="55"/>
      <c r="X213" s="55"/>
      <c r="Y213" s="55"/>
      <c r="Z213" s="28">
        <f t="shared" si="71"/>
        <v>0</v>
      </c>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44">
        <f t="shared" si="66"/>
        <v>0</v>
      </c>
      <c r="BQ213" s="44">
        <f t="shared" si="67"/>
        <v>0</v>
      </c>
      <c r="BR213" s="44">
        <f t="shared" si="68"/>
        <v>0</v>
      </c>
      <c r="BS213" s="44">
        <f t="shared" si="69"/>
        <v>0</v>
      </c>
    </row>
    <row r="214" spans="1:71" s="50" customFormat="1" ht="72" customHeight="1" x14ac:dyDescent="0.25">
      <c r="A214" s="36" t="s">
        <v>1319</v>
      </c>
      <c r="B214" s="32" t="s">
        <v>1320</v>
      </c>
      <c r="C214" s="32" t="s">
        <v>1321</v>
      </c>
      <c r="D214" s="35" t="str">
        <f t="shared" si="70"/>
        <v>3.1-1.3</v>
      </c>
      <c r="E214" s="32" t="s">
        <v>1329</v>
      </c>
      <c r="F214" s="30" t="s">
        <v>167</v>
      </c>
      <c r="G214" s="49" t="s">
        <v>291</v>
      </c>
      <c r="H214" s="49" t="s">
        <v>409</v>
      </c>
      <c r="I214" s="71">
        <v>45931</v>
      </c>
      <c r="J214" s="58" t="s">
        <v>839</v>
      </c>
      <c r="K214" s="73"/>
      <c r="L214" s="32" t="s">
        <v>1323</v>
      </c>
      <c r="M214" s="32" t="s">
        <v>1068</v>
      </c>
      <c r="N214" s="32" t="s">
        <v>1324</v>
      </c>
      <c r="O214" s="41" t="s">
        <v>1330</v>
      </c>
      <c r="P214" s="41" t="s">
        <v>1326</v>
      </c>
      <c r="Q214" s="30" t="s">
        <v>455</v>
      </c>
      <c r="R214" s="30" t="s">
        <v>1072</v>
      </c>
      <c r="S214" s="93" t="s">
        <v>1331</v>
      </c>
      <c r="T214" s="55">
        <v>42237730</v>
      </c>
      <c r="U214" s="55">
        <v>7470800</v>
      </c>
      <c r="V214" s="55">
        <v>49708530</v>
      </c>
      <c r="W214" s="55"/>
      <c r="X214" s="55"/>
      <c r="Y214" s="55">
        <v>12560972</v>
      </c>
      <c r="Z214" s="28">
        <f t="shared" si="71"/>
        <v>111978032</v>
      </c>
      <c r="AA214" s="51"/>
      <c r="AB214" s="51"/>
      <c r="AC214" s="51"/>
      <c r="AD214" s="51"/>
      <c r="AE214" s="51"/>
      <c r="AF214" s="51"/>
      <c r="AG214" s="51">
        <v>7731000</v>
      </c>
      <c r="AH214" s="51"/>
      <c r="AI214" s="51"/>
      <c r="AJ214" s="51"/>
      <c r="AK214" s="51"/>
      <c r="AL214" s="51"/>
      <c r="AM214" s="51">
        <v>33978730</v>
      </c>
      <c r="AN214" s="51"/>
      <c r="AO214" s="51"/>
      <c r="AP214" s="51">
        <v>528000</v>
      </c>
      <c r="AQ214" s="51"/>
      <c r="AR214" s="51"/>
      <c r="AS214" s="51"/>
      <c r="AT214" s="51"/>
      <c r="AU214" s="51"/>
      <c r="AV214" s="60">
        <v>2991600</v>
      </c>
      <c r="AW214" s="51"/>
      <c r="AX214" s="51"/>
      <c r="AY214" s="51"/>
      <c r="AZ214" s="60">
        <v>4479200</v>
      </c>
      <c r="BA214" s="51"/>
      <c r="BB214" s="51"/>
      <c r="BC214" s="51"/>
      <c r="BD214" s="51"/>
      <c r="BE214" s="51"/>
      <c r="BF214" s="51"/>
      <c r="BG214" s="51"/>
      <c r="BH214" s="51"/>
      <c r="BI214" s="51"/>
      <c r="BJ214" s="51"/>
      <c r="BK214" s="60">
        <v>12560972</v>
      </c>
      <c r="BL214" s="51"/>
      <c r="BM214" s="51"/>
      <c r="BN214" s="51"/>
      <c r="BO214" s="51"/>
      <c r="BP214" s="44">
        <f t="shared" si="66"/>
        <v>0</v>
      </c>
      <c r="BQ214" s="44">
        <f t="shared" si="67"/>
        <v>0</v>
      </c>
      <c r="BR214" s="44">
        <f t="shared" si="68"/>
        <v>0</v>
      </c>
      <c r="BS214" s="44">
        <f t="shared" si="69"/>
        <v>0</v>
      </c>
    </row>
    <row r="215" spans="1:71" s="50" customFormat="1" ht="72" customHeight="1" x14ac:dyDescent="0.25">
      <c r="A215" s="36" t="s">
        <v>1319</v>
      </c>
      <c r="B215" s="32" t="s">
        <v>1320</v>
      </c>
      <c r="C215" s="32" t="s">
        <v>1321</v>
      </c>
      <c r="D215" s="35" t="str">
        <f t="shared" si="70"/>
        <v>3.1-1.4</v>
      </c>
      <c r="E215" s="32" t="s">
        <v>1332</v>
      </c>
      <c r="F215" s="30" t="s">
        <v>167</v>
      </c>
      <c r="G215" s="49" t="s">
        <v>291</v>
      </c>
      <c r="H215" s="49" t="s">
        <v>477</v>
      </c>
      <c r="I215" s="71">
        <v>45931</v>
      </c>
      <c r="J215" s="58" t="s">
        <v>839</v>
      </c>
      <c r="K215" s="73"/>
      <c r="L215" s="32" t="s">
        <v>1323</v>
      </c>
      <c r="M215" s="32" t="s">
        <v>1068</v>
      </c>
      <c r="N215" s="32" t="s">
        <v>1324</v>
      </c>
      <c r="O215" s="41" t="s">
        <v>1333</v>
      </c>
      <c r="P215" s="41" t="s">
        <v>1326</v>
      </c>
      <c r="Q215" s="30" t="s">
        <v>455</v>
      </c>
      <c r="R215" s="30" t="s">
        <v>1072</v>
      </c>
      <c r="S215" s="93" t="s">
        <v>1334</v>
      </c>
      <c r="T215" s="55">
        <v>0</v>
      </c>
      <c r="U215" s="55">
        <v>115591996</v>
      </c>
      <c r="V215" s="55">
        <v>115591996</v>
      </c>
      <c r="W215" s="55"/>
      <c r="X215" s="55"/>
      <c r="Y215" s="55"/>
      <c r="Z215" s="28">
        <f t="shared" si="71"/>
        <v>231183992</v>
      </c>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44">
        <f t="shared" si="66"/>
        <v>0</v>
      </c>
      <c r="BQ215" s="44">
        <f t="shared" si="67"/>
        <v>115591996</v>
      </c>
      <c r="BR215" s="44">
        <f t="shared" si="68"/>
        <v>0</v>
      </c>
      <c r="BS215" s="44">
        <f t="shared" si="69"/>
        <v>0</v>
      </c>
    </row>
    <row r="216" spans="1:71" s="50" customFormat="1" ht="101.1" customHeight="1" x14ac:dyDescent="0.25">
      <c r="A216" s="36" t="s">
        <v>1335</v>
      </c>
      <c r="B216" s="32" t="s">
        <v>1336</v>
      </c>
      <c r="C216" s="32" t="s">
        <v>1337</v>
      </c>
      <c r="D216" s="35" t="str">
        <f t="shared" si="70"/>
        <v>3.2-1.1</v>
      </c>
      <c r="E216" s="32" t="s">
        <v>1338</v>
      </c>
      <c r="F216" s="30" t="s">
        <v>167</v>
      </c>
      <c r="G216" s="49" t="s">
        <v>291</v>
      </c>
      <c r="H216" s="49" t="s">
        <v>409</v>
      </c>
      <c r="I216" s="71">
        <v>45931</v>
      </c>
      <c r="J216" s="58" t="s">
        <v>839</v>
      </c>
      <c r="K216" s="73"/>
      <c r="L216" s="32" t="s">
        <v>1339</v>
      </c>
      <c r="M216" s="32" t="s">
        <v>1340</v>
      </c>
      <c r="N216" s="32" t="s">
        <v>1341</v>
      </c>
      <c r="O216" s="41" t="s">
        <v>1342</v>
      </c>
      <c r="P216" s="41" t="s">
        <v>1343</v>
      </c>
      <c r="Q216" s="30" t="s">
        <v>455</v>
      </c>
      <c r="R216" s="30" t="s">
        <v>1072</v>
      </c>
      <c r="S216" s="30" t="s">
        <v>376</v>
      </c>
      <c r="T216" s="55">
        <v>0</v>
      </c>
      <c r="U216" s="55"/>
      <c r="V216" s="55">
        <v>0</v>
      </c>
      <c r="W216" s="55"/>
      <c r="X216" s="55"/>
      <c r="Y216" s="55"/>
      <c r="Z216" s="28">
        <f t="shared" si="71"/>
        <v>0</v>
      </c>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44">
        <f t="shared" si="66"/>
        <v>0</v>
      </c>
      <c r="BQ216" s="44">
        <f t="shared" si="67"/>
        <v>0</v>
      </c>
      <c r="BR216" s="44">
        <f t="shared" si="68"/>
        <v>0</v>
      </c>
      <c r="BS216" s="44">
        <f t="shared" si="69"/>
        <v>0</v>
      </c>
    </row>
    <row r="217" spans="1:71" s="50" customFormat="1" ht="101.1" customHeight="1" x14ac:dyDescent="0.25">
      <c r="A217" s="36" t="s">
        <v>1335</v>
      </c>
      <c r="B217" s="32" t="s">
        <v>1336</v>
      </c>
      <c r="C217" s="32" t="s">
        <v>1337</v>
      </c>
      <c r="D217" s="35" t="str">
        <f t="shared" si="70"/>
        <v>3.2-1.2</v>
      </c>
      <c r="E217" s="32" t="s">
        <v>1344</v>
      </c>
      <c r="F217" s="30" t="s">
        <v>167</v>
      </c>
      <c r="G217" s="49" t="s">
        <v>291</v>
      </c>
      <c r="H217" s="49" t="s">
        <v>409</v>
      </c>
      <c r="I217" s="71">
        <v>45931</v>
      </c>
      <c r="J217" s="58" t="s">
        <v>839</v>
      </c>
      <c r="K217" s="73"/>
      <c r="L217" s="32" t="s">
        <v>1339</v>
      </c>
      <c r="M217" s="32" t="s">
        <v>1340</v>
      </c>
      <c r="N217" s="32" t="s">
        <v>1341</v>
      </c>
      <c r="O217" s="41" t="s">
        <v>1343</v>
      </c>
      <c r="P217" s="41" t="s">
        <v>1343</v>
      </c>
      <c r="Q217" s="30" t="s">
        <v>455</v>
      </c>
      <c r="R217" s="30" t="s">
        <v>1072</v>
      </c>
      <c r="S217" s="30" t="s">
        <v>376</v>
      </c>
      <c r="T217" s="55">
        <v>0</v>
      </c>
      <c r="U217" s="55"/>
      <c r="V217" s="55">
        <v>0</v>
      </c>
      <c r="W217" s="55"/>
      <c r="X217" s="55"/>
      <c r="Y217" s="55"/>
      <c r="Z217" s="28">
        <f t="shared" si="71"/>
        <v>0</v>
      </c>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c r="BI217" s="51"/>
      <c r="BJ217" s="51"/>
      <c r="BK217" s="51"/>
      <c r="BL217" s="51"/>
      <c r="BM217" s="51"/>
      <c r="BN217" s="51"/>
      <c r="BO217" s="51"/>
      <c r="BP217" s="44">
        <f t="shared" si="66"/>
        <v>0</v>
      </c>
      <c r="BQ217" s="44">
        <f t="shared" si="67"/>
        <v>0</v>
      </c>
      <c r="BR217" s="44">
        <f t="shared" si="68"/>
        <v>0</v>
      </c>
      <c r="BS217" s="44">
        <f t="shared" si="69"/>
        <v>0</v>
      </c>
    </row>
    <row r="218" spans="1:71" s="50" customFormat="1" ht="101.1" customHeight="1" x14ac:dyDescent="0.25">
      <c r="A218" s="36" t="s">
        <v>1335</v>
      </c>
      <c r="B218" s="32" t="s">
        <v>1345</v>
      </c>
      <c r="C218" s="32" t="s">
        <v>1346</v>
      </c>
      <c r="D218" s="35" t="str">
        <f t="shared" si="70"/>
        <v>3.2-2.1</v>
      </c>
      <c r="E218" s="32" t="s">
        <v>1347</v>
      </c>
      <c r="F218" s="30" t="s">
        <v>167</v>
      </c>
      <c r="G218" s="49" t="s">
        <v>291</v>
      </c>
      <c r="H218" s="49" t="s">
        <v>409</v>
      </c>
      <c r="I218" s="71">
        <v>45931</v>
      </c>
      <c r="J218" s="58" t="s">
        <v>839</v>
      </c>
      <c r="K218" s="73"/>
      <c r="L218" s="32" t="s">
        <v>1339</v>
      </c>
      <c r="M218" s="32" t="s">
        <v>1340</v>
      </c>
      <c r="N218" s="32" t="s">
        <v>1341</v>
      </c>
      <c r="O218" s="41" t="s">
        <v>1348</v>
      </c>
      <c r="P218" s="41" t="s">
        <v>1348</v>
      </c>
      <c r="Q218" s="30" t="s">
        <v>455</v>
      </c>
      <c r="R218" s="30" t="s">
        <v>1072</v>
      </c>
      <c r="S218" s="30" t="s">
        <v>376</v>
      </c>
      <c r="T218" s="55">
        <v>0</v>
      </c>
      <c r="U218" s="55"/>
      <c r="V218" s="55">
        <v>0</v>
      </c>
      <c r="W218" s="55"/>
      <c r="X218" s="55"/>
      <c r="Y218" s="55"/>
      <c r="Z218" s="28">
        <f t="shared" si="71"/>
        <v>0</v>
      </c>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c r="BI218" s="51"/>
      <c r="BJ218" s="51"/>
      <c r="BK218" s="51"/>
      <c r="BL218" s="51"/>
      <c r="BM218" s="51"/>
      <c r="BN218" s="51"/>
      <c r="BO218" s="51"/>
      <c r="BP218" s="44">
        <f t="shared" si="66"/>
        <v>0</v>
      </c>
      <c r="BQ218" s="44">
        <f t="shared" si="67"/>
        <v>0</v>
      </c>
      <c r="BR218" s="44">
        <f t="shared" si="68"/>
        <v>0</v>
      </c>
      <c r="BS218" s="44">
        <f t="shared" si="69"/>
        <v>0</v>
      </c>
    </row>
    <row r="219" spans="1:71" s="84" customFormat="1" ht="14.85" customHeight="1" x14ac:dyDescent="0.25">
      <c r="A219" s="92" t="s">
        <v>1349</v>
      </c>
      <c r="B219" s="90"/>
      <c r="C219" s="90"/>
      <c r="D219" s="89"/>
      <c r="E219" s="90"/>
      <c r="F219" s="89"/>
      <c r="G219" s="91"/>
      <c r="H219" s="91"/>
      <c r="I219" s="91"/>
      <c r="J219" s="89"/>
      <c r="K219" s="90"/>
      <c r="L219" s="90"/>
      <c r="M219" s="90"/>
      <c r="N219" s="90"/>
      <c r="O219" s="89"/>
      <c r="P219" s="89"/>
      <c r="Q219" s="89"/>
      <c r="R219" s="89"/>
      <c r="S219" s="89"/>
      <c r="T219" s="88">
        <f t="shared" ref="T219:Z219" si="72">SUM(T220:T268)</f>
        <v>29140743</v>
      </c>
      <c r="U219" s="88">
        <f t="shared" si="72"/>
        <v>35542613</v>
      </c>
      <c r="V219" s="88">
        <f t="shared" si="72"/>
        <v>64683356</v>
      </c>
      <c r="W219" s="88">
        <f t="shared" si="72"/>
        <v>59098050</v>
      </c>
      <c r="X219" s="88">
        <f t="shared" si="72"/>
        <v>218061631</v>
      </c>
      <c r="Y219" s="88">
        <f t="shared" si="72"/>
        <v>186570696</v>
      </c>
      <c r="Z219" s="88">
        <f t="shared" si="72"/>
        <v>593097089</v>
      </c>
      <c r="AA219" s="87">
        <f t="shared" ref="AA219:AR219" si="73">SUM(AA220:AA251)</f>
        <v>0</v>
      </c>
      <c r="AB219" s="87">
        <f t="shared" si="73"/>
        <v>0</v>
      </c>
      <c r="AC219" s="87">
        <f t="shared" si="73"/>
        <v>0</v>
      </c>
      <c r="AD219" s="87">
        <f t="shared" si="73"/>
        <v>29087703</v>
      </c>
      <c r="AE219" s="87">
        <f t="shared" si="73"/>
        <v>8081133</v>
      </c>
      <c r="AF219" s="87">
        <f t="shared" si="73"/>
        <v>11107390</v>
      </c>
      <c r="AG219" s="87">
        <f t="shared" si="73"/>
        <v>101000</v>
      </c>
      <c r="AH219" s="87">
        <f t="shared" si="73"/>
        <v>1588000</v>
      </c>
      <c r="AI219" s="87">
        <f t="shared" si="73"/>
        <v>6690350</v>
      </c>
      <c r="AJ219" s="87">
        <f t="shared" si="73"/>
        <v>7230520</v>
      </c>
      <c r="AK219" s="87">
        <f t="shared" si="73"/>
        <v>11136490</v>
      </c>
      <c r="AL219" s="87">
        <f t="shared" si="73"/>
        <v>8750270</v>
      </c>
      <c r="AM219" s="87">
        <f t="shared" si="73"/>
        <v>7230520</v>
      </c>
      <c r="AN219" s="87">
        <f t="shared" si="73"/>
        <v>6250733</v>
      </c>
      <c r="AO219" s="87">
        <f t="shared" si="73"/>
        <v>7750920</v>
      </c>
      <c r="AP219" s="87">
        <f t="shared" si="73"/>
        <v>101000</v>
      </c>
      <c r="AQ219" s="87">
        <f t="shared" si="73"/>
        <v>9362980</v>
      </c>
      <c r="AR219" s="87">
        <f t="shared" si="73"/>
        <v>11948670</v>
      </c>
      <c r="AS219" s="86"/>
      <c r="AT219" s="86"/>
      <c r="AU219" s="86"/>
      <c r="AV219" s="86"/>
      <c r="AW219" s="86"/>
      <c r="AX219" s="86"/>
      <c r="AY219" s="86"/>
      <c r="AZ219" s="86"/>
      <c r="BA219" s="86"/>
      <c r="BB219" s="86"/>
      <c r="BC219" s="86"/>
      <c r="BD219" s="86"/>
      <c r="BE219" s="86"/>
      <c r="BF219" s="86"/>
      <c r="BG219" s="86"/>
      <c r="BH219" s="86"/>
      <c r="BI219" s="86"/>
      <c r="BJ219" s="86"/>
      <c r="BK219" s="86"/>
      <c r="BL219" s="86"/>
      <c r="BM219" s="86"/>
      <c r="BN219" s="86"/>
      <c r="BO219" s="86"/>
      <c r="BP219" s="85">
        <f t="shared" si="66"/>
        <v>-14610000</v>
      </c>
      <c r="BQ219" s="85">
        <f t="shared" si="67"/>
        <v>35542613</v>
      </c>
      <c r="BR219" s="85">
        <f t="shared" si="68"/>
        <v>22678714</v>
      </c>
      <c r="BS219" s="85">
        <f t="shared" si="69"/>
        <v>171814031</v>
      </c>
    </row>
    <row r="220" spans="1:71" s="50" customFormat="1" ht="90.6" customHeight="1" x14ac:dyDescent="0.25">
      <c r="A220" s="79" t="s">
        <v>1350</v>
      </c>
      <c r="B220" s="43" t="s">
        <v>1351</v>
      </c>
      <c r="C220" s="43" t="s">
        <v>1352</v>
      </c>
      <c r="D220" s="30" t="str">
        <f t="shared" ref="D220:D230" si="74">TRIM(_xlfn.TEXTBEFORE(E220,":"))</f>
        <v>4.1-1.1</v>
      </c>
      <c r="E220" s="43" t="s">
        <v>1353</v>
      </c>
      <c r="F220" s="189" t="s">
        <v>247</v>
      </c>
      <c r="G220" s="190" t="s">
        <v>461</v>
      </c>
      <c r="H220" s="190"/>
      <c r="I220" s="71">
        <v>45668</v>
      </c>
      <c r="J220" s="189" t="s">
        <v>492</v>
      </c>
      <c r="K220" s="43" t="s">
        <v>1354</v>
      </c>
      <c r="L220" s="43" t="s">
        <v>1355</v>
      </c>
      <c r="M220" s="43" t="s">
        <v>1356</v>
      </c>
      <c r="N220" s="43" t="s">
        <v>1357</v>
      </c>
      <c r="O220" s="189" t="s">
        <v>1358</v>
      </c>
      <c r="P220" s="189" t="s">
        <v>1359</v>
      </c>
      <c r="Q220" s="189" t="s">
        <v>363</v>
      </c>
      <c r="R220" s="189" t="s">
        <v>466</v>
      </c>
      <c r="S220" s="189" t="s">
        <v>376</v>
      </c>
      <c r="T220" s="198"/>
      <c r="U220" s="55">
        <v>0</v>
      </c>
      <c r="V220" s="55">
        <v>0</v>
      </c>
      <c r="W220" s="198">
        <v>0</v>
      </c>
      <c r="X220" s="198"/>
      <c r="Y220" s="198"/>
      <c r="Z220" s="28">
        <f t="shared" ref="Z220:Z229" si="75">SUM(T220:Y220)</f>
        <v>0</v>
      </c>
      <c r="AA220" s="75"/>
      <c r="AB220" s="75"/>
      <c r="AC220" s="75"/>
      <c r="AD220" s="75"/>
      <c r="AE220" s="75"/>
      <c r="AF220" s="75"/>
      <c r="AG220" s="75"/>
      <c r="AH220" s="75"/>
      <c r="AI220" s="75"/>
      <c r="AJ220" s="75"/>
      <c r="AK220" s="75"/>
      <c r="AL220" s="75"/>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c r="BK220" s="51"/>
      <c r="BL220" s="51"/>
      <c r="BM220" s="51"/>
      <c r="BN220" s="51"/>
      <c r="BO220" s="51"/>
      <c r="BP220" s="44">
        <f t="shared" si="66"/>
        <v>0</v>
      </c>
      <c r="BQ220" s="44">
        <f t="shared" si="67"/>
        <v>0</v>
      </c>
      <c r="BR220" s="44">
        <f t="shared" si="68"/>
        <v>0</v>
      </c>
      <c r="BS220" s="44">
        <f t="shared" si="69"/>
        <v>0</v>
      </c>
    </row>
    <row r="221" spans="1:71" s="50" customFormat="1" ht="90.6" customHeight="1" x14ac:dyDescent="0.25">
      <c r="A221" s="79" t="s">
        <v>1350</v>
      </c>
      <c r="B221" s="43" t="s">
        <v>1351</v>
      </c>
      <c r="C221" s="43" t="s">
        <v>1352</v>
      </c>
      <c r="D221" s="30" t="str">
        <f t="shared" si="74"/>
        <v>4.1-1.2</v>
      </c>
      <c r="E221" s="43" t="s">
        <v>1360</v>
      </c>
      <c r="F221" s="30" t="s">
        <v>247</v>
      </c>
      <c r="G221" s="49" t="s">
        <v>461</v>
      </c>
      <c r="H221" s="190"/>
      <c r="I221" s="71">
        <v>45658</v>
      </c>
      <c r="J221" s="199">
        <v>46111</v>
      </c>
      <c r="K221" s="43" t="s">
        <v>1361</v>
      </c>
      <c r="L221" s="43" t="s">
        <v>1362</v>
      </c>
      <c r="M221" s="43" t="s">
        <v>1363</v>
      </c>
      <c r="N221" s="43" t="s">
        <v>1357</v>
      </c>
      <c r="O221" s="189" t="s">
        <v>1364</v>
      </c>
      <c r="P221" s="189" t="s">
        <v>1359</v>
      </c>
      <c r="Q221" s="189" t="s">
        <v>363</v>
      </c>
      <c r="R221" s="189" t="s">
        <v>363</v>
      </c>
      <c r="S221" s="189" t="s">
        <v>1365</v>
      </c>
      <c r="T221" s="198"/>
      <c r="U221" s="55">
        <v>0</v>
      </c>
      <c r="V221" s="55">
        <v>0</v>
      </c>
      <c r="W221" s="198">
        <v>0</v>
      </c>
      <c r="X221" s="198">
        <v>6223325</v>
      </c>
      <c r="Y221" s="198"/>
      <c r="Z221" s="28">
        <f t="shared" si="75"/>
        <v>6223325</v>
      </c>
      <c r="AA221" s="75"/>
      <c r="AB221" s="75"/>
      <c r="AC221" s="75"/>
      <c r="AD221" s="75"/>
      <c r="AE221" s="75"/>
      <c r="AF221" s="75"/>
      <c r="AG221" s="75"/>
      <c r="AH221" s="75"/>
      <c r="AI221" s="75"/>
      <c r="AJ221" s="75"/>
      <c r="AK221" s="51"/>
      <c r="AL221" s="200">
        <f>3510000+332000+597500+160000+490000+65000+650000+40020</f>
        <v>5844520</v>
      </c>
      <c r="AM221" s="51"/>
      <c r="AN221" s="51"/>
      <c r="AO221" s="51"/>
      <c r="AP221" s="51"/>
      <c r="AQ221" s="51"/>
      <c r="AR221" s="51"/>
      <c r="AS221" s="51"/>
      <c r="AT221" s="51"/>
      <c r="AU221" s="51"/>
      <c r="AV221" s="51"/>
      <c r="AW221" s="51"/>
      <c r="AX221" s="60">
        <v>1452475</v>
      </c>
      <c r="AY221" s="51"/>
      <c r="AZ221" s="51"/>
      <c r="BA221" s="51"/>
      <c r="BB221" s="51"/>
      <c r="BC221" s="51"/>
      <c r="BD221" s="51"/>
      <c r="BE221" s="51"/>
      <c r="BF221" s="51"/>
      <c r="BG221" s="51"/>
      <c r="BH221" s="51"/>
      <c r="BI221" s="51"/>
      <c r="BJ221" s="51"/>
      <c r="BK221" s="51"/>
      <c r="BL221" s="51"/>
      <c r="BM221" s="51"/>
      <c r="BN221" s="51"/>
      <c r="BO221" s="51"/>
      <c r="BP221" s="44">
        <f t="shared" si="66"/>
        <v>0</v>
      </c>
      <c r="BQ221" s="44">
        <f t="shared" si="67"/>
        <v>0</v>
      </c>
      <c r="BR221" s="44">
        <f t="shared" si="68"/>
        <v>0</v>
      </c>
      <c r="BS221" s="44">
        <f t="shared" si="69"/>
        <v>-1073670</v>
      </c>
    </row>
    <row r="222" spans="1:71" s="50" customFormat="1" ht="90.6" customHeight="1" x14ac:dyDescent="0.25">
      <c r="A222" s="79" t="s">
        <v>1350</v>
      </c>
      <c r="B222" s="43" t="s">
        <v>1351</v>
      </c>
      <c r="C222" s="43" t="s">
        <v>1352</v>
      </c>
      <c r="D222" s="30" t="str">
        <f t="shared" si="74"/>
        <v>4.1-1.3</v>
      </c>
      <c r="E222" s="43" t="s">
        <v>1366</v>
      </c>
      <c r="F222" s="189" t="s">
        <v>247</v>
      </c>
      <c r="G222" s="190" t="s">
        <v>450</v>
      </c>
      <c r="H222" s="190"/>
      <c r="I222" s="71">
        <v>46023</v>
      </c>
      <c r="J222" s="199">
        <v>46264</v>
      </c>
      <c r="K222" s="78" t="s">
        <v>1367</v>
      </c>
      <c r="L222" s="43" t="s">
        <v>1355</v>
      </c>
      <c r="M222" s="43" t="s">
        <v>1368</v>
      </c>
      <c r="N222" s="43" t="s">
        <v>1357</v>
      </c>
      <c r="O222" s="189" t="s">
        <v>887</v>
      </c>
      <c r="P222" s="189" t="s">
        <v>1359</v>
      </c>
      <c r="Q222" s="77" t="s">
        <v>363</v>
      </c>
      <c r="R222" s="77" t="s">
        <v>415</v>
      </c>
      <c r="S222" s="189" t="s">
        <v>1369</v>
      </c>
      <c r="T222" s="198">
        <v>14259040</v>
      </c>
      <c r="U222" s="198">
        <v>6498471</v>
      </c>
      <c r="V222" s="198">
        <v>20757511</v>
      </c>
      <c r="W222" s="198">
        <v>6869140</v>
      </c>
      <c r="X222" s="198">
        <f>30392010-15000000</f>
        <v>15392010</v>
      </c>
      <c r="Y222" s="198">
        <v>17000000</v>
      </c>
      <c r="Z222" s="28">
        <f t="shared" si="75"/>
        <v>80776172</v>
      </c>
      <c r="AA222" s="75"/>
      <c r="AB222" s="75"/>
      <c r="AC222" s="75"/>
      <c r="AD222" s="75"/>
      <c r="AE222" s="75"/>
      <c r="AF222" s="75"/>
      <c r="AG222" s="75"/>
      <c r="AH222" s="75"/>
      <c r="AI222" s="75"/>
      <c r="AJ222" s="75">
        <v>7129520</v>
      </c>
      <c r="AK222" s="75"/>
      <c r="AL222" s="75"/>
      <c r="AM222" s="75">
        <v>7129520</v>
      </c>
      <c r="AN222" s="51"/>
      <c r="AO222" s="51"/>
      <c r="AP222" s="75"/>
      <c r="AQ222" s="51"/>
      <c r="AR222" s="51">
        <v>7048670</v>
      </c>
      <c r="AS222" s="75"/>
      <c r="AT222" s="51"/>
      <c r="AU222" s="51"/>
      <c r="AV222" s="81">
        <v>6498471</v>
      </c>
      <c r="AW222" s="60">
        <v>6869140</v>
      </c>
      <c r="AX222" s="51"/>
      <c r="AY222" s="51"/>
      <c r="AZ222" s="75"/>
      <c r="BA222" s="51"/>
      <c r="BB222" s="60">
        <v>15392010</v>
      </c>
      <c r="BC222" s="51"/>
      <c r="BD222" s="51"/>
      <c r="BE222" s="51"/>
      <c r="BF222" s="65"/>
      <c r="BG222" s="51"/>
      <c r="BH222" s="51"/>
      <c r="BI222" s="51"/>
      <c r="BJ222" s="65"/>
      <c r="BK222" s="60">
        <v>17000000</v>
      </c>
      <c r="BL222" s="51"/>
      <c r="BM222" s="51"/>
      <c r="BN222" s="51"/>
      <c r="BO222" s="51"/>
      <c r="BP222" s="44">
        <f t="shared" si="66"/>
        <v>0</v>
      </c>
      <c r="BQ222" s="44">
        <f t="shared" si="67"/>
        <v>0</v>
      </c>
      <c r="BR222" s="44">
        <f t="shared" si="68"/>
        <v>0</v>
      </c>
      <c r="BS222" s="44">
        <f t="shared" si="69"/>
        <v>-7048670</v>
      </c>
    </row>
    <row r="223" spans="1:71" s="50" customFormat="1" ht="90.6" customHeight="1" x14ac:dyDescent="0.25">
      <c r="A223" s="36" t="s">
        <v>1350</v>
      </c>
      <c r="B223" s="43" t="s">
        <v>1351</v>
      </c>
      <c r="C223" s="32" t="s">
        <v>1352</v>
      </c>
      <c r="D223" s="30" t="str">
        <f t="shared" si="74"/>
        <v>4.1-1.4</v>
      </c>
      <c r="E223" s="32" t="s">
        <v>1370</v>
      </c>
      <c r="F223" s="30" t="s">
        <v>247</v>
      </c>
      <c r="G223" s="49" t="s">
        <v>461</v>
      </c>
      <c r="H223" s="49"/>
      <c r="I223" s="71">
        <v>46023</v>
      </c>
      <c r="J223" s="58">
        <v>46111</v>
      </c>
      <c r="K223" s="42" t="s">
        <v>1371</v>
      </c>
      <c r="L223" s="83" t="s">
        <v>1355</v>
      </c>
      <c r="M223" s="32" t="s">
        <v>1372</v>
      </c>
      <c r="N223" s="32" t="s">
        <v>1357</v>
      </c>
      <c r="O223" s="30" t="s">
        <v>1373</v>
      </c>
      <c r="P223" s="30" t="s">
        <v>1359</v>
      </c>
      <c r="Q223" s="41" t="s">
        <v>363</v>
      </c>
      <c r="R223" s="41" t="s">
        <v>415</v>
      </c>
      <c r="S223" s="30" t="s">
        <v>1374</v>
      </c>
      <c r="T223" s="48">
        <v>0</v>
      </c>
      <c r="U223" s="48">
        <v>0</v>
      </c>
      <c r="V223" s="48">
        <v>0</v>
      </c>
      <c r="W223" s="48">
        <v>4053935</v>
      </c>
      <c r="X223" s="48">
        <v>4393500</v>
      </c>
      <c r="Y223" s="48"/>
      <c r="Z223" s="28">
        <f t="shared" si="75"/>
        <v>8447435</v>
      </c>
      <c r="AA223" s="51"/>
      <c r="AB223" s="51"/>
      <c r="AC223" s="51"/>
      <c r="AD223" s="51"/>
      <c r="AE223" s="51"/>
      <c r="AF223" s="51"/>
      <c r="AG223" s="51"/>
      <c r="AH223" s="51"/>
      <c r="AI223" s="51"/>
      <c r="AJ223" s="51"/>
      <c r="AK223" s="51"/>
      <c r="AL223" s="51"/>
      <c r="AM223" s="51"/>
      <c r="AN223" s="51"/>
      <c r="AO223" s="51"/>
      <c r="AP223" s="82"/>
      <c r="AQ223" s="82">
        <f>12674980-4900000</f>
        <v>7774980</v>
      </c>
      <c r="AR223" s="82">
        <v>4900000</v>
      </c>
      <c r="AS223" s="51"/>
      <c r="AT223" s="51"/>
      <c r="AU223" s="51"/>
      <c r="AV223" s="51"/>
      <c r="AW223" s="51"/>
      <c r="AX223" s="51"/>
      <c r="AY223" s="51"/>
      <c r="AZ223" s="51"/>
      <c r="BA223" s="51"/>
      <c r="BB223" s="51"/>
      <c r="BC223" s="51"/>
      <c r="BD223" s="82"/>
      <c r="BE223" s="51"/>
      <c r="BF223" s="51"/>
      <c r="BG223" s="51"/>
      <c r="BH223" s="51"/>
      <c r="BI223" s="51"/>
      <c r="BJ223" s="51"/>
      <c r="BK223" s="51"/>
      <c r="BL223" s="51"/>
      <c r="BM223" s="51"/>
      <c r="BN223" s="51"/>
      <c r="BO223" s="51"/>
      <c r="BP223" s="44">
        <f t="shared" si="66"/>
        <v>0</v>
      </c>
      <c r="BQ223" s="44">
        <f t="shared" si="67"/>
        <v>0</v>
      </c>
      <c r="BR223" s="44">
        <f t="shared" si="68"/>
        <v>-3721045</v>
      </c>
      <c r="BS223" s="44">
        <f t="shared" si="69"/>
        <v>-506500</v>
      </c>
    </row>
    <row r="224" spans="1:71" s="50" customFormat="1" ht="90.6" customHeight="1" x14ac:dyDescent="0.25">
      <c r="A224" s="79" t="s">
        <v>1350</v>
      </c>
      <c r="B224" s="43" t="s">
        <v>1351</v>
      </c>
      <c r="C224" s="43" t="s">
        <v>1352</v>
      </c>
      <c r="D224" s="30" t="str">
        <f t="shared" si="74"/>
        <v>4.1-1.5</v>
      </c>
      <c r="E224" s="43" t="s">
        <v>1375</v>
      </c>
      <c r="F224" s="189" t="s">
        <v>247</v>
      </c>
      <c r="G224" s="190" t="s">
        <v>450</v>
      </c>
      <c r="H224" s="190"/>
      <c r="I224" s="71">
        <v>46023</v>
      </c>
      <c r="J224" s="199">
        <v>45992</v>
      </c>
      <c r="K224" s="78" t="s">
        <v>1376</v>
      </c>
      <c r="L224" s="43" t="s">
        <v>1355</v>
      </c>
      <c r="M224" s="43" t="s">
        <v>1377</v>
      </c>
      <c r="N224" s="43" t="s">
        <v>1357</v>
      </c>
      <c r="O224" s="189" t="s">
        <v>887</v>
      </c>
      <c r="P224" s="189" t="s">
        <v>1359</v>
      </c>
      <c r="Q224" s="77" t="s">
        <v>363</v>
      </c>
      <c r="R224" s="77" t="s">
        <v>415</v>
      </c>
      <c r="S224" s="189" t="s">
        <v>1378</v>
      </c>
      <c r="T224" s="198">
        <v>7885703</v>
      </c>
      <c r="U224" s="198"/>
      <c r="V224" s="198">
        <v>7885703</v>
      </c>
      <c r="W224" s="198">
        <v>242400</v>
      </c>
      <c r="X224" s="198"/>
      <c r="Y224" s="198"/>
      <c r="Z224" s="28">
        <f t="shared" si="75"/>
        <v>16013806</v>
      </c>
      <c r="AA224" s="75"/>
      <c r="AB224" s="75"/>
      <c r="AC224" s="75"/>
      <c r="AD224" s="75">
        <v>7885703</v>
      </c>
      <c r="AE224" s="75">
        <v>242400</v>
      </c>
      <c r="AF224" s="75"/>
      <c r="AG224" s="75"/>
      <c r="AH224" s="75"/>
      <c r="AI224" s="75"/>
      <c r="AJ224" s="75"/>
      <c r="AK224" s="75"/>
      <c r="AL224" s="75"/>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44">
        <f t="shared" si="66"/>
        <v>0</v>
      </c>
      <c r="BQ224" s="44">
        <f t="shared" si="67"/>
        <v>0</v>
      </c>
      <c r="BR224" s="44">
        <f t="shared" si="68"/>
        <v>0</v>
      </c>
      <c r="BS224" s="44">
        <f t="shared" si="69"/>
        <v>0</v>
      </c>
    </row>
    <row r="225" spans="1:71" s="50" customFormat="1" ht="90.6" customHeight="1" x14ac:dyDescent="0.25">
      <c r="A225" s="79" t="s">
        <v>1350</v>
      </c>
      <c r="B225" s="43" t="s">
        <v>1351</v>
      </c>
      <c r="C225" s="43" t="s">
        <v>1352</v>
      </c>
      <c r="D225" s="30" t="str">
        <f t="shared" si="74"/>
        <v>4.1-1.6</v>
      </c>
      <c r="E225" s="43" t="s">
        <v>1379</v>
      </c>
      <c r="F225" s="189" t="s">
        <v>247</v>
      </c>
      <c r="G225" s="190" t="s">
        <v>450</v>
      </c>
      <c r="H225" s="190"/>
      <c r="I225" s="71">
        <v>45931</v>
      </c>
      <c r="J225" s="58" t="s">
        <v>839</v>
      </c>
      <c r="K225" s="78" t="s">
        <v>1380</v>
      </c>
      <c r="L225" s="43" t="s">
        <v>1355</v>
      </c>
      <c r="M225" s="43" t="s">
        <v>1381</v>
      </c>
      <c r="N225" s="43" t="s">
        <v>1357</v>
      </c>
      <c r="O225" s="189" t="s">
        <v>896</v>
      </c>
      <c r="P225" s="189" t="s">
        <v>1359</v>
      </c>
      <c r="Q225" s="77" t="s">
        <v>516</v>
      </c>
      <c r="R225" s="77" t="s">
        <v>516</v>
      </c>
      <c r="S225" s="30" t="s">
        <v>1382</v>
      </c>
      <c r="T225" s="198">
        <v>0</v>
      </c>
      <c r="U225" s="198">
        <v>2044142</v>
      </c>
      <c r="V225" s="198">
        <v>2044142</v>
      </c>
      <c r="W225" s="198">
        <v>17238000</v>
      </c>
      <c r="X225" s="198"/>
      <c r="Y225" s="198"/>
      <c r="Z225" s="28">
        <f t="shared" si="75"/>
        <v>21326284</v>
      </c>
      <c r="AA225" s="75"/>
      <c r="AB225" s="75"/>
      <c r="AC225" s="75"/>
      <c r="AD225" s="75"/>
      <c r="AE225" s="75">
        <f>1436500*2</f>
        <v>2873000</v>
      </c>
      <c r="AF225" s="75"/>
      <c r="AG225" s="75"/>
      <c r="AH225" s="75">
        <v>1436500</v>
      </c>
      <c r="AI225" s="75"/>
      <c r="AJ225" s="75"/>
      <c r="AK225" s="75">
        <v>1436500</v>
      </c>
      <c r="AL225" s="75"/>
      <c r="AM225" s="51"/>
      <c r="AN225" s="75">
        <v>1436500</v>
      </c>
      <c r="AO225" s="51"/>
      <c r="AP225" s="51"/>
      <c r="AQ225" s="75">
        <v>1436500</v>
      </c>
      <c r="AR225" s="51"/>
      <c r="AS225" s="51"/>
      <c r="AT225" s="75"/>
      <c r="AU225" s="51"/>
      <c r="AV225" s="51"/>
      <c r="AW225" s="81">
        <v>1436500</v>
      </c>
      <c r="AX225" s="51"/>
      <c r="AY225" s="51"/>
      <c r="AZ225" s="51"/>
      <c r="BA225" s="81">
        <v>1436500</v>
      </c>
      <c r="BB225" s="51"/>
      <c r="BC225" s="51"/>
      <c r="BD225" s="51"/>
      <c r="BE225" s="81">
        <v>1436500</v>
      </c>
      <c r="BF225" s="51"/>
      <c r="BG225" s="51"/>
      <c r="BH225" s="51"/>
      <c r="BI225" s="81">
        <v>1436500</v>
      </c>
      <c r="BJ225" s="51"/>
      <c r="BK225" s="51"/>
      <c r="BL225" s="51"/>
      <c r="BM225" s="81">
        <v>1436500</v>
      </c>
      <c r="BN225" s="51"/>
      <c r="BO225" s="51"/>
      <c r="BP225" s="44">
        <f t="shared" si="66"/>
        <v>0</v>
      </c>
      <c r="BQ225" s="44">
        <f t="shared" si="67"/>
        <v>2044142</v>
      </c>
      <c r="BR225" s="44">
        <f t="shared" si="68"/>
        <v>1436500</v>
      </c>
      <c r="BS225" s="44">
        <f t="shared" si="69"/>
        <v>0</v>
      </c>
    </row>
    <row r="226" spans="1:71" s="21" customFormat="1" ht="90.6" customHeight="1" x14ac:dyDescent="0.25">
      <c r="A226" s="79" t="s">
        <v>1350</v>
      </c>
      <c r="B226" s="43" t="s">
        <v>1351</v>
      </c>
      <c r="C226" s="43" t="s">
        <v>1352</v>
      </c>
      <c r="D226" s="30" t="str">
        <f t="shared" si="74"/>
        <v>4.1-1.7</v>
      </c>
      <c r="E226" s="78" t="s">
        <v>1383</v>
      </c>
      <c r="F226" s="35" t="s">
        <v>247</v>
      </c>
      <c r="G226" s="34" t="s">
        <v>461</v>
      </c>
      <c r="H226" s="34"/>
      <c r="I226" s="71">
        <v>46023</v>
      </c>
      <c r="J226" s="199" t="s">
        <v>1384</v>
      </c>
      <c r="K226" s="43" t="s">
        <v>1357</v>
      </c>
      <c r="L226" s="43" t="s">
        <v>1355</v>
      </c>
      <c r="M226" s="43" t="s">
        <v>1359</v>
      </c>
      <c r="N226" s="43" t="s">
        <v>1357</v>
      </c>
      <c r="O226" s="189" t="s">
        <v>1385</v>
      </c>
      <c r="P226" s="30" t="s">
        <v>1359</v>
      </c>
      <c r="Q226" s="30" t="s">
        <v>363</v>
      </c>
      <c r="R226" s="30" t="s">
        <v>363</v>
      </c>
      <c r="S226" s="56" t="s">
        <v>376</v>
      </c>
      <c r="T226" s="29"/>
      <c r="U226" s="29"/>
      <c r="V226" s="29">
        <v>0</v>
      </c>
      <c r="W226" s="29"/>
      <c r="X226" s="29">
        <v>0</v>
      </c>
      <c r="Y226" s="29"/>
      <c r="Z226" s="28">
        <f t="shared" si="75"/>
        <v>0</v>
      </c>
      <c r="AA226" s="80"/>
      <c r="AB226" s="45"/>
      <c r="AC226" s="45"/>
      <c r="AD226" s="45"/>
      <c r="AE226" s="45"/>
      <c r="AF226" s="45"/>
      <c r="AG226" s="45"/>
      <c r="AH226" s="45"/>
      <c r="AI226" s="45"/>
      <c r="AJ226" s="45"/>
      <c r="AK226" s="45"/>
      <c r="AL226" s="45"/>
      <c r="AM226" s="45"/>
      <c r="AN226" s="45"/>
      <c r="AO226" s="45">
        <v>7750920</v>
      </c>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c r="BO226" s="45"/>
      <c r="BP226" s="44">
        <f t="shared" si="66"/>
        <v>0</v>
      </c>
      <c r="BQ226" s="44">
        <f t="shared" si="67"/>
        <v>0</v>
      </c>
      <c r="BR226" s="44">
        <f t="shared" si="68"/>
        <v>0</v>
      </c>
      <c r="BS226" s="44">
        <f t="shared" si="69"/>
        <v>-7750920</v>
      </c>
    </row>
    <row r="227" spans="1:71" ht="90.6" customHeight="1" x14ac:dyDescent="0.25">
      <c r="A227" s="79" t="s">
        <v>1350</v>
      </c>
      <c r="B227" s="43" t="s">
        <v>1351</v>
      </c>
      <c r="C227" s="43" t="s">
        <v>1352</v>
      </c>
      <c r="D227" s="30" t="str">
        <f t="shared" si="74"/>
        <v>4.1-1.8</v>
      </c>
      <c r="E227" s="78" t="s">
        <v>1386</v>
      </c>
      <c r="F227" s="35" t="s">
        <v>247</v>
      </c>
      <c r="G227" s="34" t="s">
        <v>461</v>
      </c>
      <c r="H227" s="34"/>
      <c r="I227" s="71">
        <v>46023</v>
      </c>
      <c r="J227" s="199" t="s">
        <v>492</v>
      </c>
      <c r="K227" s="43" t="s">
        <v>1362</v>
      </c>
      <c r="L227" s="43" t="s">
        <v>1355</v>
      </c>
      <c r="M227" s="43" t="s">
        <v>1357</v>
      </c>
      <c r="N227" s="43" t="s">
        <v>1357</v>
      </c>
      <c r="O227" s="189" t="s">
        <v>1359</v>
      </c>
      <c r="P227" s="30" t="s">
        <v>1359</v>
      </c>
      <c r="Q227" s="189" t="s">
        <v>363</v>
      </c>
      <c r="R227" s="189" t="s">
        <v>363</v>
      </c>
      <c r="S227" s="189" t="s">
        <v>1387</v>
      </c>
      <c r="T227" s="29"/>
      <c r="U227" s="29"/>
      <c r="V227" s="29">
        <v>0</v>
      </c>
      <c r="W227" s="29"/>
      <c r="X227" s="29">
        <v>6474208</v>
      </c>
      <c r="Y227" s="29"/>
      <c r="Z227" s="28">
        <f t="shared" si="75"/>
        <v>6474208</v>
      </c>
      <c r="AA227" s="45"/>
      <c r="AB227" s="45"/>
      <c r="AC227" s="45"/>
      <c r="AD227" s="45"/>
      <c r="AE227" s="45"/>
      <c r="AF227" s="45"/>
      <c r="AG227" s="45"/>
      <c r="AH227" s="45"/>
      <c r="AI227" s="45">
        <v>6690350</v>
      </c>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45"/>
      <c r="BJ227" s="45"/>
      <c r="BK227" s="45"/>
      <c r="BL227" s="45"/>
      <c r="BM227" s="45"/>
      <c r="BN227" s="45"/>
      <c r="BO227" s="45"/>
      <c r="BP227" s="44">
        <f t="shared" si="66"/>
        <v>0</v>
      </c>
      <c r="BQ227" s="44">
        <f t="shared" si="67"/>
        <v>0</v>
      </c>
      <c r="BR227" s="44">
        <f t="shared" si="68"/>
        <v>0</v>
      </c>
      <c r="BS227" s="44">
        <f t="shared" si="69"/>
        <v>-216142</v>
      </c>
    </row>
    <row r="228" spans="1:71" ht="90.6" customHeight="1" x14ac:dyDescent="0.25">
      <c r="A228" s="79" t="s">
        <v>1350</v>
      </c>
      <c r="B228" s="43" t="s">
        <v>1351</v>
      </c>
      <c r="C228" s="43" t="s">
        <v>1352</v>
      </c>
      <c r="D228" s="30" t="str">
        <f t="shared" si="74"/>
        <v>4.1-1.9</v>
      </c>
      <c r="E228" s="43" t="s">
        <v>1388</v>
      </c>
      <c r="F228" s="35" t="s">
        <v>247</v>
      </c>
      <c r="G228" s="34" t="s">
        <v>461</v>
      </c>
      <c r="H228" s="190"/>
      <c r="I228" s="71">
        <v>46023</v>
      </c>
      <c r="J228" s="199">
        <v>46111</v>
      </c>
      <c r="K228" s="43" t="s">
        <v>1355</v>
      </c>
      <c r="L228" s="43" t="s">
        <v>1355</v>
      </c>
      <c r="M228" s="43" t="s">
        <v>1356</v>
      </c>
      <c r="N228" s="43" t="s">
        <v>1357</v>
      </c>
      <c r="O228" s="189" t="s">
        <v>616</v>
      </c>
      <c r="P228" s="30" t="s">
        <v>1359</v>
      </c>
      <c r="Q228" s="77" t="s">
        <v>363</v>
      </c>
      <c r="R228" s="77" t="s">
        <v>466</v>
      </c>
      <c r="S228" s="189" t="s">
        <v>1389</v>
      </c>
      <c r="T228" s="29"/>
      <c r="U228" s="29">
        <v>0</v>
      </c>
      <c r="V228" s="29">
        <v>0</v>
      </c>
      <c r="W228" s="29"/>
      <c r="X228" s="29">
        <v>7081110</v>
      </c>
      <c r="Y228" s="29"/>
      <c r="Z228" s="28">
        <f t="shared" si="75"/>
        <v>7081110</v>
      </c>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4">
        <f t="shared" si="66"/>
        <v>0</v>
      </c>
      <c r="BQ228" s="44">
        <f t="shared" si="67"/>
        <v>0</v>
      </c>
      <c r="BR228" s="44">
        <f t="shared" si="68"/>
        <v>0</v>
      </c>
      <c r="BS228" s="44">
        <f t="shared" si="69"/>
        <v>7081110</v>
      </c>
    </row>
    <row r="229" spans="1:71" ht="90.6" customHeight="1" x14ac:dyDescent="0.25">
      <c r="A229" s="79" t="s">
        <v>1350</v>
      </c>
      <c r="B229" s="43" t="s">
        <v>1351</v>
      </c>
      <c r="C229" s="43" t="s">
        <v>1352</v>
      </c>
      <c r="D229" s="30" t="str">
        <f t="shared" si="74"/>
        <v>4.1-1.10</v>
      </c>
      <c r="E229" s="32" t="s">
        <v>1390</v>
      </c>
      <c r="F229" s="35" t="s">
        <v>247</v>
      </c>
      <c r="G229" s="34" t="s">
        <v>461</v>
      </c>
      <c r="H229" s="34"/>
      <c r="I229" s="33">
        <v>46174</v>
      </c>
      <c r="J229" s="33">
        <v>46233</v>
      </c>
      <c r="K229" s="32" t="s">
        <v>1391</v>
      </c>
      <c r="L229" s="43" t="s">
        <v>1355</v>
      </c>
      <c r="M229" s="38"/>
      <c r="N229" s="43" t="s">
        <v>1357</v>
      </c>
      <c r="O229" s="189" t="s">
        <v>1385</v>
      </c>
      <c r="P229" s="30" t="s">
        <v>1359</v>
      </c>
      <c r="Q229" s="77" t="s">
        <v>363</v>
      </c>
      <c r="R229" s="30" t="s">
        <v>363</v>
      </c>
      <c r="S229" s="30" t="s">
        <v>1392</v>
      </c>
      <c r="T229" s="29"/>
      <c r="U229" s="29"/>
      <c r="V229" s="29">
        <v>0</v>
      </c>
      <c r="W229" s="29"/>
      <c r="X229" s="29"/>
      <c r="Y229" s="29">
        <v>17000000</v>
      </c>
      <c r="Z229" s="28">
        <f t="shared" si="75"/>
        <v>17000000</v>
      </c>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37">
        <v>17000000</v>
      </c>
      <c r="BD229" s="27"/>
      <c r="BE229" s="27"/>
      <c r="BF229" s="27"/>
      <c r="BG229" s="27"/>
      <c r="BH229" s="27"/>
      <c r="BI229" s="27"/>
      <c r="BJ229" s="27"/>
      <c r="BK229" s="27"/>
      <c r="BL229" s="27"/>
      <c r="BM229" s="27"/>
      <c r="BN229" s="27"/>
      <c r="BO229" s="27"/>
      <c r="BP229" s="26"/>
      <c r="BQ229" s="26"/>
      <c r="BR229" s="26"/>
      <c r="BS229" s="26"/>
    </row>
    <row r="230" spans="1:71" ht="90.6" customHeight="1" x14ac:dyDescent="0.25">
      <c r="A230" s="79" t="s">
        <v>1350</v>
      </c>
      <c r="B230" s="43" t="s">
        <v>1351</v>
      </c>
      <c r="C230" s="43" t="s">
        <v>1352</v>
      </c>
      <c r="D230" s="30" t="str">
        <f t="shared" si="74"/>
        <v>4.1-1.11</v>
      </c>
      <c r="E230" s="32" t="s">
        <v>1393</v>
      </c>
      <c r="F230" s="35" t="s">
        <v>247</v>
      </c>
      <c r="G230" s="34" t="s">
        <v>461</v>
      </c>
      <c r="H230" s="34"/>
      <c r="I230" s="33">
        <v>46143</v>
      </c>
      <c r="J230" s="33">
        <v>46295</v>
      </c>
      <c r="K230" s="32" t="s">
        <v>1394</v>
      </c>
      <c r="L230" s="43" t="s">
        <v>1355</v>
      </c>
      <c r="M230" s="38"/>
      <c r="N230" s="43" t="s">
        <v>1357</v>
      </c>
      <c r="O230" s="30" t="s">
        <v>1395</v>
      </c>
      <c r="P230" s="30" t="s">
        <v>1359</v>
      </c>
      <c r="Q230" s="77" t="s">
        <v>363</v>
      </c>
      <c r="R230" s="30" t="s">
        <v>363</v>
      </c>
      <c r="S230" s="30" t="s">
        <v>376</v>
      </c>
      <c r="T230" s="29"/>
      <c r="U230" s="29"/>
      <c r="V230" s="29">
        <v>0</v>
      </c>
      <c r="W230" s="29"/>
      <c r="X230" s="29"/>
      <c r="Y230" s="29"/>
      <c r="Z230" s="28"/>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6"/>
      <c r="BQ230" s="26"/>
      <c r="BR230" s="26"/>
      <c r="BS230" s="26"/>
    </row>
    <row r="231" spans="1:71" ht="90.6" customHeight="1" x14ac:dyDescent="0.25">
      <c r="A231" s="79" t="s">
        <v>1350</v>
      </c>
      <c r="B231" s="32" t="s">
        <v>1351</v>
      </c>
      <c r="C231" s="43" t="s">
        <v>1352</v>
      </c>
      <c r="D231" s="30" t="s">
        <v>1396</v>
      </c>
      <c r="E231" s="32" t="s">
        <v>1397</v>
      </c>
      <c r="F231" s="35" t="s">
        <v>247</v>
      </c>
      <c r="G231" s="34"/>
      <c r="H231" s="34"/>
      <c r="I231" s="33">
        <v>46143</v>
      </c>
      <c r="J231" s="33">
        <v>46203</v>
      </c>
      <c r="K231" s="38"/>
      <c r="L231" s="43" t="s">
        <v>1355</v>
      </c>
      <c r="M231" s="38"/>
      <c r="N231" s="43" t="s">
        <v>1357</v>
      </c>
      <c r="O231" s="30"/>
      <c r="P231" s="30" t="s">
        <v>1359</v>
      </c>
      <c r="Q231" s="30" t="s">
        <v>455</v>
      </c>
      <c r="R231" s="30" t="s">
        <v>456</v>
      </c>
      <c r="S231" s="30"/>
      <c r="T231" s="29"/>
      <c r="U231" s="29"/>
      <c r="V231" s="29">
        <v>0</v>
      </c>
      <c r="W231" s="29"/>
      <c r="X231" s="29">
        <v>112138784</v>
      </c>
      <c r="Y231" s="29">
        <v>42496816</v>
      </c>
      <c r="Z231" s="28">
        <f t="shared" ref="Z231:Z252" si="76">SUM(T231:Y231)</f>
        <v>154635600</v>
      </c>
      <c r="AA231" s="27"/>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37">
        <v>112138784</v>
      </c>
      <c r="BC231" s="37">
        <v>42496816</v>
      </c>
      <c r="BD231" s="27"/>
      <c r="BE231" s="27"/>
      <c r="BF231" s="27"/>
      <c r="BG231" s="27"/>
      <c r="BH231" s="27"/>
      <c r="BI231" s="27"/>
      <c r="BJ231" s="27"/>
      <c r="BK231" s="27"/>
      <c r="BL231" s="27"/>
      <c r="BM231" s="27"/>
      <c r="BN231" s="27"/>
      <c r="BO231" s="27"/>
      <c r="BP231" s="26"/>
      <c r="BQ231" s="26"/>
      <c r="BR231" s="26"/>
      <c r="BS231" s="26"/>
    </row>
    <row r="232" spans="1:71" s="50" customFormat="1" ht="90.6" customHeight="1" x14ac:dyDescent="0.25">
      <c r="A232" s="36" t="s">
        <v>1350</v>
      </c>
      <c r="B232" s="32" t="s">
        <v>1398</v>
      </c>
      <c r="C232" s="32" t="s">
        <v>1352</v>
      </c>
      <c r="D232" s="30" t="str">
        <f t="shared" ref="D232:D268" si="77">TRIM(_xlfn.TEXTBEFORE(E232,":"))</f>
        <v>4.1-2.1</v>
      </c>
      <c r="E232" s="32" t="s">
        <v>1399</v>
      </c>
      <c r="F232" s="30" t="s">
        <v>247</v>
      </c>
      <c r="G232" s="49" t="s">
        <v>291</v>
      </c>
      <c r="H232" s="49" t="s">
        <v>640</v>
      </c>
      <c r="I232" s="71">
        <v>45931</v>
      </c>
      <c r="J232" s="58">
        <v>46295</v>
      </c>
      <c r="K232" s="42" t="s">
        <v>1400</v>
      </c>
      <c r="L232" s="32" t="s">
        <v>1401</v>
      </c>
      <c r="M232" s="32" t="s">
        <v>1402</v>
      </c>
      <c r="N232" s="32" t="s">
        <v>1403</v>
      </c>
      <c r="O232" s="30" t="s">
        <v>1404</v>
      </c>
      <c r="P232" s="30" t="s">
        <v>1405</v>
      </c>
      <c r="Q232" s="41" t="s">
        <v>516</v>
      </c>
      <c r="R232" s="41" t="s">
        <v>516</v>
      </c>
      <c r="S232" s="30" t="s">
        <v>1406</v>
      </c>
      <c r="T232" s="55">
        <v>606000</v>
      </c>
      <c r="U232" s="55">
        <v>0</v>
      </c>
      <c r="V232" s="55">
        <v>606000</v>
      </c>
      <c r="W232" s="55"/>
      <c r="X232" s="55">
        <v>606000</v>
      </c>
      <c r="Y232" s="55"/>
      <c r="Z232" s="28">
        <f t="shared" si="76"/>
        <v>1818000</v>
      </c>
      <c r="AA232" s="75"/>
      <c r="AB232" s="75"/>
      <c r="AC232" s="75"/>
      <c r="AD232" s="75">
        <v>202000</v>
      </c>
      <c r="AE232" s="75"/>
      <c r="AF232" s="75"/>
      <c r="AG232" s="75">
        <v>101000</v>
      </c>
      <c r="AH232" s="51"/>
      <c r="AI232" s="51"/>
      <c r="AJ232" s="75">
        <v>101000</v>
      </c>
      <c r="AK232" s="51"/>
      <c r="AL232" s="51"/>
      <c r="AM232" s="75">
        <v>101000</v>
      </c>
      <c r="AN232" s="75"/>
      <c r="AO232" s="51"/>
      <c r="AP232" s="75">
        <v>101000</v>
      </c>
      <c r="AQ232" s="51"/>
      <c r="AR232" s="51"/>
      <c r="AS232" s="75"/>
      <c r="AT232" s="75"/>
      <c r="AU232" s="51"/>
      <c r="AV232" s="75"/>
      <c r="AW232" s="51"/>
      <c r="AX232" s="60">
        <v>101000</v>
      </c>
      <c r="AY232" s="51"/>
      <c r="AZ232" s="75"/>
      <c r="BA232" s="51"/>
      <c r="BB232" s="60">
        <v>101000</v>
      </c>
      <c r="BC232" s="51"/>
      <c r="BD232" s="75"/>
      <c r="BE232" s="63"/>
      <c r="BF232" s="60">
        <v>101000</v>
      </c>
      <c r="BG232" s="51"/>
      <c r="BH232" s="75"/>
      <c r="BI232" s="51"/>
      <c r="BJ232" s="60">
        <v>101000</v>
      </c>
      <c r="BK232" s="51"/>
      <c r="BL232" s="75"/>
      <c r="BM232" s="51"/>
      <c r="BN232" s="60">
        <v>101000</v>
      </c>
      <c r="BO232" s="51"/>
      <c r="BP232" s="44">
        <f>T232-SUM(AA232,AD232,AG232,AJ232,AM232,AP232)</f>
        <v>0</v>
      </c>
      <c r="BQ232" s="44">
        <f>U232-SUM(AS232,AV232,AZ232,BD232,BH232,BL232)</f>
        <v>0</v>
      </c>
      <c r="BR232" s="44">
        <f t="shared" ref="BR232:BS236" si="78">W232-SUM(AB232,AE232,AH232,AK232,AN232,AQ232,AT232,AW232,BA232,BE232,BI232,BM232)</f>
        <v>0</v>
      </c>
      <c r="BS232" s="44">
        <f t="shared" si="78"/>
        <v>101000</v>
      </c>
    </row>
    <row r="233" spans="1:71" s="50" customFormat="1" ht="90.6" customHeight="1" x14ac:dyDescent="0.25">
      <c r="A233" s="79" t="s">
        <v>1350</v>
      </c>
      <c r="B233" s="43" t="s">
        <v>1398</v>
      </c>
      <c r="C233" s="43" t="s">
        <v>1352</v>
      </c>
      <c r="D233" s="30" t="str">
        <f t="shared" si="77"/>
        <v>4.1-2.2</v>
      </c>
      <c r="E233" s="43" t="s">
        <v>1407</v>
      </c>
      <c r="F233" s="189" t="s">
        <v>247</v>
      </c>
      <c r="G233" s="190" t="s">
        <v>450</v>
      </c>
      <c r="H233" s="190"/>
      <c r="I233" s="71">
        <v>45931</v>
      </c>
      <c r="J233" s="199">
        <v>46203</v>
      </c>
      <c r="K233" s="78" t="s">
        <v>1408</v>
      </c>
      <c r="L233" s="43" t="s">
        <v>1401</v>
      </c>
      <c r="M233" s="43" t="s">
        <v>1409</v>
      </c>
      <c r="N233" s="32" t="s">
        <v>1403</v>
      </c>
      <c r="O233" s="189" t="s">
        <v>1410</v>
      </c>
      <c r="P233" s="30" t="s">
        <v>1405</v>
      </c>
      <c r="Q233" s="77" t="s">
        <v>516</v>
      </c>
      <c r="R233" s="77" t="s">
        <v>516</v>
      </c>
      <c r="S233" s="41" t="s">
        <v>1411</v>
      </c>
      <c r="T233" s="55">
        <v>6390000</v>
      </c>
      <c r="U233" s="55"/>
      <c r="V233" s="55">
        <v>6390000</v>
      </c>
      <c r="W233" s="76">
        <v>0</v>
      </c>
      <c r="X233" s="76">
        <v>9242850</v>
      </c>
      <c r="Y233" s="76"/>
      <c r="Z233" s="28">
        <f t="shared" si="76"/>
        <v>22022850</v>
      </c>
      <c r="AA233" s="75"/>
      <c r="AB233" s="51"/>
      <c r="AC233" s="75"/>
      <c r="AD233" s="75">
        <v>10000000</v>
      </c>
      <c r="AE233" s="75"/>
      <c r="AF233" s="75">
        <v>4000000</v>
      </c>
      <c r="AG233" s="75"/>
      <c r="AH233" s="75"/>
      <c r="AI233" s="75"/>
      <c r="AJ233" s="75"/>
      <c r="AK233" s="75"/>
      <c r="AL233" s="75"/>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44">
        <f>T233-SUM(AA233,AD233,AG233,AJ233,AM233,AP233)</f>
        <v>-3610000</v>
      </c>
      <c r="BQ233" s="44">
        <f>U233-SUM(AS233,AV233,AZ233,BD233,BH233,BL233)</f>
        <v>0</v>
      </c>
      <c r="BR233" s="44">
        <f t="shared" si="78"/>
        <v>0</v>
      </c>
      <c r="BS233" s="44">
        <f t="shared" si="78"/>
        <v>5242850</v>
      </c>
    </row>
    <row r="234" spans="1:71" s="50" customFormat="1" ht="90.6" customHeight="1" x14ac:dyDescent="0.25">
      <c r="A234" s="36" t="s">
        <v>1350</v>
      </c>
      <c r="B234" s="32" t="s">
        <v>1398</v>
      </c>
      <c r="C234" s="32" t="s">
        <v>1412</v>
      </c>
      <c r="D234" s="30" t="str">
        <f t="shared" si="77"/>
        <v>4.1-2.3</v>
      </c>
      <c r="E234" s="42" t="s">
        <v>1413</v>
      </c>
      <c r="F234" s="41" t="s">
        <v>247</v>
      </c>
      <c r="G234" s="64" t="s">
        <v>461</v>
      </c>
      <c r="H234" s="64"/>
      <c r="I234" s="71">
        <v>45667</v>
      </c>
      <c r="J234" s="58">
        <v>46295</v>
      </c>
      <c r="K234" s="42" t="s">
        <v>1414</v>
      </c>
      <c r="L234" s="32" t="s">
        <v>1401</v>
      </c>
      <c r="M234" s="42" t="s">
        <v>1402</v>
      </c>
      <c r="N234" s="32" t="s">
        <v>1403</v>
      </c>
      <c r="O234" s="30" t="s">
        <v>1415</v>
      </c>
      <c r="P234" s="30" t="s">
        <v>1405</v>
      </c>
      <c r="Q234" s="41" t="s">
        <v>516</v>
      </c>
      <c r="R234" s="41" t="s">
        <v>516</v>
      </c>
      <c r="S234" s="41" t="s">
        <v>1416</v>
      </c>
      <c r="T234" s="54">
        <v>0</v>
      </c>
      <c r="U234" s="54">
        <v>0</v>
      </c>
      <c r="V234" s="54">
        <v>0</v>
      </c>
      <c r="W234" s="54">
        <v>909000</v>
      </c>
      <c r="X234" s="54">
        <v>909000</v>
      </c>
      <c r="Y234" s="54"/>
      <c r="Z234" s="28">
        <f t="shared" si="76"/>
        <v>1818000</v>
      </c>
      <c r="AA234" s="51"/>
      <c r="AB234" s="51"/>
      <c r="AC234" s="51"/>
      <c r="AD234" s="51"/>
      <c r="AE234" s="51">
        <v>303000</v>
      </c>
      <c r="AF234" s="51"/>
      <c r="AG234" s="51"/>
      <c r="AH234" s="51">
        <v>151500</v>
      </c>
      <c r="AI234" s="51"/>
      <c r="AJ234" s="51"/>
      <c r="AK234" s="51">
        <v>151500</v>
      </c>
      <c r="AL234" s="51"/>
      <c r="AM234" s="51"/>
      <c r="AN234" s="51">
        <v>151500</v>
      </c>
      <c r="AO234" s="51"/>
      <c r="AP234" s="51"/>
      <c r="AQ234" s="51">
        <v>151500</v>
      </c>
      <c r="AR234" s="51"/>
      <c r="AS234" s="51"/>
      <c r="AT234" s="51"/>
      <c r="AU234" s="51"/>
      <c r="AV234" s="51"/>
      <c r="AW234" s="51"/>
      <c r="AX234" s="60">
        <v>151500</v>
      </c>
      <c r="AY234" s="51"/>
      <c r="AZ234" s="51"/>
      <c r="BA234" s="51"/>
      <c r="BB234" s="60">
        <v>151500</v>
      </c>
      <c r="BC234" s="51"/>
      <c r="BD234" s="51"/>
      <c r="BE234" s="51"/>
      <c r="BF234" s="60">
        <v>151500</v>
      </c>
      <c r="BG234" s="51"/>
      <c r="BH234" s="51"/>
      <c r="BI234" s="51"/>
      <c r="BJ234" s="60">
        <v>151500</v>
      </c>
      <c r="BK234" s="51"/>
      <c r="BL234" s="51"/>
      <c r="BM234" s="51"/>
      <c r="BN234" s="60">
        <v>151500</v>
      </c>
      <c r="BO234" s="51"/>
      <c r="BP234" s="44">
        <f>T234-SUM(AA234,AD234,AG234,AJ234,AM234,AP234)</f>
        <v>0</v>
      </c>
      <c r="BQ234" s="44">
        <f>U234-SUM(AS234,AV234,AZ234,BD234,BH234,BL234)</f>
        <v>0</v>
      </c>
      <c r="BR234" s="44">
        <f t="shared" si="78"/>
        <v>0</v>
      </c>
      <c r="BS234" s="44">
        <f t="shared" si="78"/>
        <v>151500</v>
      </c>
    </row>
    <row r="235" spans="1:71" s="50" customFormat="1" ht="90.6" customHeight="1" x14ac:dyDescent="0.25">
      <c r="A235" s="36" t="s">
        <v>1350</v>
      </c>
      <c r="B235" s="32" t="s">
        <v>1398</v>
      </c>
      <c r="C235" s="32" t="s">
        <v>1412</v>
      </c>
      <c r="D235" s="30" t="str">
        <f t="shared" si="77"/>
        <v>4.1-2.4</v>
      </c>
      <c r="E235" s="42" t="s">
        <v>1417</v>
      </c>
      <c r="F235" s="41" t="s">
        <v>247</v>
      </c>
      <c r="G235" s="64" t="s">
        <v>450</v>
      </c>
      <c r="H235" s="64"/>
      <c r="I235" s="71">
        <v>46327</v>
      </c>
      <c r="J235" s="59" t="s">
        <v>1418</v>
      </c>
      <c r="K235" s="42" t="s">
        <v>1419</v>
      </c>
      <c r="L235" s="32" t="s">
        <v>1401</v>
      </c>
      <c r="M235" s="42" t="s">
        <v>1420</v>
      </c>
      <c r="N235" s="32" t="s">
        <v>1403</v>
      </c>
      <c r="O235" s="30" t="s">
        <v>1421</v>
      </c>
      <c r="P235" s="30" t="s">
        <v>1405</v>
      </c>
      <c r="Q235" s="41" t="s">
        <v>363</v>
      </c>
      <c r="R235" s="41" t="s">
        <v>533</v>
      </c>
      <c r="S235" s="41" t="s">
        <v>1422</v>
      </c>
      <c r="T235" s="54">
        <v>0</v>
      </c>
      <c r="U235" s="54"/>
      <c r="V235" s="54">
        <v>0</v>
      </c>
      <c r="W235" s="54">
        <v>18650932</v>
      </c>
      <c r="X235" s="54">
        <v>2992875</v>
      </c>
      <c r="Y235" s="54">
        <v>3000000</v>
      </c>
      <c r="Z235" s="28">
        <f t="shared" si="76"/>
        <v>24643807</v>
      </c>
      <c r="AA235" s="51"/>
      <c r="AB235" s="63"/>
      <c r="AC235" s="51"/>
      <c r="AD235" s="51"/>
      <c r="AE235" s="51">
        <f>+$W$235/4</f>
        <v>4662733</v>
      </c>
      <c r="AF235" s="51"/>
      <c r="AG235" s="51"/>
      <c r="AH235" s="51"/>
      <c r="AI235" s="51"/>
      <c r="AJ235" s="51"/>
      <c r="AK235" s="51"/>
      <c r="AL235" s="51"/>
      <c r="AM235" s="63"/>
      <c r="AN235" s="51">
        <f>+$W$235/4</f>
        <v>4662733</v>
      </c>
      <c r="AO235" s="51"/>
      <c r="AP235" s="51"/>
      <c r="AQ235" s="51"/>
      <c r="AR235" s="51"/>
      <c r="AS235" s="51"/>
      <c r="AT235" s="51"/>
      <c r="AU235" s="51"/>
      <c r="AV235" s="51"/>
      <c r="AW235" s="60">
        <v>6944811</v>
      </c>
      <c r="AX235" s="51"/>
      <c r="AY235" s="51"/>
      <c r="AZ235" s="51"/>
      <c r="BA235" s="51"/>
      <c r="BB235" s="51"/>
      <c r="BC235" s="51"/>
      <c r="BD235" s="51"/>
      <c r="BE235" s="51"/>
      <c r="BF235" s="51"/>
      <c r="BG235" s="51"/>
      <c r="BH235" s="63"/>
      <c r="BI235" s="51"/>
      <c r="BJ235" s="60">
        <v>2992875</v>
      </c>
      <c r="BK235" s="60">
        <v>3000000</v>
      </c>
      <c r="BL235" s="51"/>
      <c r="BM235" s="51"/>
      <c r="BN235" s="51"/>
      <c r="BO235" s="51"/>
      <c r="BP235" s="44">
        <f>T235-SUM(AA235,AD235,AG235,AJ235,AM235,AP235)</f>
        <v>0</v>
      </c>
      <c r="BQ235" s="44">
        <f>U235-SUM(AS235,AV235,AZ235,BD235,BH235,BL235)</f>
        <v>0</v>
      </c>
      <c r="BR235" s="44">
        <f t="shared" si="78"/>
        <v>2380655</v>
      </c>
      <c r="BS235" s="44">
        <f t="shared" si="78"/>
        <v>0</v>
      </c>
    </row>
    <row r="236" spans="1:71" ht="90.6" customHeight="1" x14ac:dyDescent="0.25">
      <c r="A236" s="36" t="s">
        <v>1350</v>
      </c>
      <c r="B236" s="32" t="s">
        <v>1398</v>
      </c>
      <c r="C236" s="32" t="s">
        <v>1352</v>
      </c>
      <c r="D236" s="30" t="str">
        <f t="shared" si="77"/>
        <v>4.1-2.5</v>
      </c>
      <c r="E236" s="32" t="s">
        <v>1423</v>
      </c>
      <c r="F236" s="35" t="s">
        <v>247</v>
      </c>
      <c r="G236" s="34" t="s">
        <v>450</v>
      </c>
      <c r="H236" s="34"/>
      <c r="I236" s="71">
        <v>45667</v>
      </c>
      <c r="J236" s="35" t="s">
        <v>839</v>
      </c>
      <c r="K236" s="32" t="s">
        <v>1424</v>
      </c>
      <c r="L236" s="43" t="s">
        <v>1401</v>
      </c>
      <c r="M236" s="32" t="s">
        <v>1425</v>
      </c>
      <c r="N236" s="32" t="s">
        <v>1426</v>
      </c>
      <c r="O236" s="30" t="s">
        <v>1427</v>
      </c>
      <c r="P236" s="30" t="s">
        <v>1405</v>
      </c>
      <c r="Q236" s="30" t="s">
        <v>363</v>
      </c>
      <c r="R236" s="30" t="s">
        <v>363</v>
      </c>
      <c r="S236" s="30" t="s">
        <v>376</v>
      </c>
      <c r="T236" s="29"/>
      <c r="U236" s="29"/>
      <c r="V236" s="29">
        <v>0</v>
      </c>
      <c r="W236" s="29"/>
      <c r="X236" s="29"/>
      <c r="Y236" s="29"/>
      <c r="Z236" s="28">
        <f t="shared" si="76"/>
        <v>0</v>
      </c>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s="45"/>
      <c r="BJ236" s="45"/>
      <c r="BK236" s="45"/>
      <c r="BL236" s="45"/>
      <c r="BM236" s="45"/>
      <c r="BN236" s="45"/>
      <c r="BO236" s="45"/>
      <c r="BP236" s="44">
        <f>T236-SUM(AA236,AD236,AG236,AJ236,AM236,AP236)</f>
        <v>0</v>
      </c>
      <c r="BQ236" s="44">
        <f>U236-SUM(AS236,AV236,AZ236,BD236,BH236,BL236)</f>
        <v>0</v>
      </c>
      <c r="BR236" s="44">
        <f t="shared" si="78"/>
        <v>0</v>
      </c>
      <c r="BS236" s="44">
        <f t="shared" si="78"/>
        <v>0</v>
      </c>
    </row>
    <row r="237" spans="1:71" ht="90.6" customHeight="1" x14ac:dyDescent="0.25">
      <c r="A237" s="36" t="s">
        <v>1350</v>
      </c>
      <c r="B237" s="32" t="s">
        <v>1398</v>
      </c>
      <c r="C237" s="32" t="s">
        <v>1352</v>
      </c>
      <c r="D237" s="30" t="str">
        <f t="shared" si="77"/>
        <v>4.1-2.6</v>
      </c>
      <c r="E237" s="32" t="s">
        <v>1428</v>
      </c>
      <c r="F237" s="35" t="s">
        <v>247</v>
      </c>
      <c r="G237" s="34"/>
      <c r="H237" s="34"/>
      <c r="I237" s="33">
        <v>46143</v>
      </c>
      <c r="J237" s="59">
        <v>46233</v>
      </c>
      <c r="K237" s="32" t="s">
        <v>1429</v>
      </c>
      <c r="L237" s="43" t="s">
        <v>1401</v>
      </c>
      <c r="M237" s="38"/>
      <c r="N237" s="32" t="s">
        <v>1426</v>
      </c>
      <c r="O237" s="30"/>
      <c r="P237" s="30" t="s">
        <v>1405</v>
      </c>
      <c r="Q237" s="30" t="s">
        <v>363</v>
      </c>
      <c r="R237" s="30" t="s">
        <v>363</v>
      </c>
      <c r="S237" s="30" t="s">
        <v>1430</v>
      </c>
      <c r="T237" s="29"/>
      <c r="U237" s="29"/>
      <c r="V237" s="29">
        <v>0</v>
      </c>
      <c r="W237" s="29"/>
      <c r="X237" s="29"/>
      <c r="Y237" s="29">
        <v>8000000</v>
      </c>
      <c r="Z237" s="28">
        <f t="shared" si="76"/>
        <v>8000000</v>
      </c>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c r="BC237" s="37">
        <v>8000000</v>
      </c>
      <c r="BD237" s="27"/>
      <c r="BE237" s="27"/>
      <c r="BF237" s="27"/>
      <c r="BG237" s="27"/>
      <c r="BH237" s="27"/>
      <c r="BI237" s="27"/>
      <c r="BJ237" s="27"/>
      <c r="BK237" s="27"/>
      <c r="BL237" s="27"/>
      <c r="BM237" s="27"/>
      <c r="BN237" s="27"/>
      <c r="BO237" s="27"/>
      <c r="BP237" s="26"/>
      <c r="BQ237" s="26"/>
      <c r="BR237" s="26"/>
      <c r="BS237" s="26"/>
    </row>
    <row r="238" spans="1:71" s="50" customFormat="1" ht="90.6" customHeight="1" x14ac:dyDescent="0.25">
      <c r="A238" s="36" t="s">
        <v>1350</v>
      </c>
      <c r="B238" s="32" t="s">
        <v>1398</v>
      </c>
      <c r="C238" s="32" t="s">
        <v>1352</v>
      </c>
      <c r="D238" s="30" t="str">
        <f t="shared" si="77"/>
        <v>4.1-2.7</v>
      </c>
      <c r="E238" s="43" t="s">
        <v>1431</v>
      </c>
      <c r="F238" s="189" t="s">
        <v>247</v>
      </c>
      <c r="G238" s="190" t="s">
        <v>450</v>
      </c>
      <c r="H238" s="190"/>
      <c r="I238" s="71">
        <v>46143</v>
      </c>
      <c r="J238" s="199">
        <v>46203</v>
      </c>
      <c r="K238" s="78" t="s">
        <v>1432</v>
      </c>
      <c r="L238" s="43" t="s">
        <v>1401</v>
      </c>
      <c r="M238" s="43"/>
      <c r="N238" s="32" t="s">
        <v>1403</v>
      </c>
      <c r="O238" s="189"/>
      <c r="P238" s="30" t="s">
        <v>1405</v>
      </c>
      <c r="Q238" s="30" t="s">
        <v>363</v>
      </c>
      <c r="R238" s="77" t="s">
        <v>363</v>
      </c>
      <c r="S238" s="41" t="s">
        <v>1433</v>
      </c>
      <c r="T238" s="55"/>
      <c r="U238" s="55"/>
      <c r="V238" s="55">
        <v>0</v>
      </c>
      <c r="W238" s="76">
        <v>6081753</v>
      </c>
      <c r="X238" s="76"/>
      <c r="Y238" s="76"/>
      <c r="Z238" s="28">
        <f t="shared" si="76"/>
        <v>6081753</v>
      </c>
      <c r="AA238" s="75"/>
      <c r="AB238" s="51"/>
      <c r="AC238" s="75"/>
      <c r="AD238" s="75"/>
      <c r="AE238" s="75"/>
      <c r="AF238" s="75"/>
      <c r="AG238" s="75"/>
      <c r="AH238" s="75"/>
      <c r="AI238" s="75"/>
      <c r="AJ238" s="75"/>
      <c r="AK238" s="75"/>
      <c r="AL238" s="75"/>
      <c r="AM238" s="51"/>
      <c r="AN238" s="51"/>
      <c r="AO238" s="51"/>
      <c r="AP238" s="51"/>
      <c r="AQ238" s="51"/>
      <c r="AR238" s="51"/>
      <c r="AS238" s="51"/>
      <c r="AT238" s="51"/>
      <c r="AU238" s="51"/>
      <c r="AV238" s="51"/>
      <c r="AW238" s="60">
        <v>6081753</v>
      </c>
      <c r="AX238" s="51"/>
      <c r="AY238" s="51"/>
      <c r="AZ238" s="51"/>
      <c r="BA238" s="51"/>
      <c r="BB238" s="51"/>
      <c r="BC238" s="51"/>
      <c r="BD238" s="51"/>
      <c r="BE238" s="51"/>
      <c r="BF238" s="51"/>
      <c r="BG238" s="51"/>
      <c r="BH238" s="51"/>
      <c r="BI238" s="51"/>
      <c r="BJ238" s="51"/>
      <c r="BK238" s="51"/>
      <c r="BL238" s="51"/>
      <c r="BM238" s="51"/>
      <c r="BN238" s="51"/>
      <c r="BO238" s="51"/>
      <c r="BP238" s="44"/>
      <c r="BQ238" s="44"/>
      <c r="BR238" s="44"/>
      <c r="BS238" s="44"/>
    </row>
    <row r="239" spans="1:71" s="50" customFormat="1" ht="90.6" customHeight="1" x14ac:dyDescent="0.25">
      <c r="A239" s="36" t="s">
        <v>1350</v>
      </c>
      <c r="B239" s="42" t="s">
        <v>1434</v>
      </c>
      <c r="C239" s="70" t="s">
        <v>1435</v>
      </c>
      <c r="D239" s="30" t="str">
        <f t="shared" si="77"/>
        <v>4.1-3.1</v>
      </c>
      <c r="E239" s="70" t="s">
        <v>1436</v>
      </c>
      <c r="F239" s="41" t="s">
        <v>968</v>
      </c>
      <c r="G239" s="64" t="s">
        <v>618</v>
      </c>
      <c r="H239" s="64"/>
      <c r="I239" s="71">
        <v>46144</v>
      </c>
      <c r="J239" s="71">
        <v>46173</v>
      </c>
      <c r="K239" s="70" t="s">
        <v>1437</v>
      </c>
      <c r="L239" s="70" t="s">
        <v>1438</v>
      </c>
      <c r="M239" s="70" t="s">
        <v>1439</v>
      </c>
      <c r="N239" s="69" t="s">
        <v>1440</v>
      </c>
      <c r="O239" s="74" t="s">
        <v>1437</v>
      </c>
      <c r="P239" s="68" t="s">
        <v>1441</v>
      </c>
      <c r="Q239" s="74" t="s">
        <v>363</v>
      </c>
      <c r="R239" s="72" t="s">
        <v>363</v>
      </c>
      <c r="S239" s="56" t="s">
        <v>376</v>
      </c>
      <c r="T239" s="66"/>
      <c r="U239" s="55">
        <v>0</v>
      </c>
      <c r="V239" s="55">
        <v>0</v>
      </c>
      <c r="W239" s="66"/>
      <c r="X239" s="66"/>
      <c r="Y239" s="66"/>
      <c r="Z239" s="28">
        <f t="shared" si="76"/>
        <v>0</v>
      </c>
      <c r="AA239" s="51"/>
      <c r="AB239" s="51"/>
      <c r="AC239" s="51"/>
      <c r="AD239" s="51"/>
      <c r="AE239" s="51"/>
      <c r="AF239" s="51"/>
      <c r="AG239" s="51"/>
      <c r="AH239" s="51"/>
      <c r="AI239" s="51"/>
      <c r="AJ239" s="51"/>
      <c r="AK239" s="51"/>
      <c r="AL239" s="51"/>
      <c r="AM239" s="51"/>
      <c r="AN239" s="51"/>
      <c r="AO239" s="51"/>
      <c r="AP239" s="51"/>
      <c r="AQ239" s="51"/>
      <c r="AR239" s="51"/>
      <c r="AS239" s="65"/>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44">
        <f t="shared" ref="BP239:BP251" si="79">T239-SUM(AA239,AD239,AG239,AJ239,AM239,AP239)</f>
        <v>0</v>
      </c>
      <c r="BQ239" s="44">
        <f t="shared" ref="BQ239:BQ251" si="80">U239-SUM(AS239,AV239,AZ239,BD239,BH239,BL239)</f>
        <v>0</v>
      </c>
      <c r="BR239" s="44">
        <f t="shared" ref="BR239:BR251" si="81">W239-SUM(AB239,AE239,AH239,AK239,AN239,AQ239,AT239,AW239,BA239,BE239,BI239,BM239)</f>
        <v>0</v>
      </c>
      <c r="BS239" s="44">
        <f t="shared" ref="BS239:BS251" si="82">X239-SUM(AC239,AF239,AI239,AL239,AO239,AR239,AU239,AX239,BB239,BF239,BJ239,BN239)</f>
        <v>0</v>
      </c>
    </row>
    <row r="240" spans="1:71" s="50" customFormat="1" ht="90.6" customHeight="1" x14ac:dyDescent="0.25">
      <c r="A240" s="36" t="s">
        <v>1350</v>
      </c>
      <c r="B240" s="42" t="s">
        <v>1434</v>
      </c>
      <c r="C240" s="70" t="s">
        <v>1435</v>
      </c>
      <c r="D240" s="30" t="str">
        <f t="shared" si="77"/>
        <v>4.1-3.2</v>
      </c>
      <c r="E240" s="42" t="s">
        <v>1442</v>
      </c>
      <c r="F240" s="41" t="s">
        <v>968</v>
      </c>
      <c r="G240" s="64" t="s">
        <v>618</v>
      </c>
      <c r="H240" s="64"/>
      <c r="I240" s="71">
        <v>46174</v>
      </c>
      <c r="J240" s="71">
        <v>46203</v>
      </c>
      <c r="K240" s="73" t="s">
        <v>1443</v>
      </c>
      <c r="L240" s="70" t="s">
        <v>1438</v>
      </c>
      <c r="M240" s="70" t="s">
        <v>1439</v>
      </c>
      <c r="N240" s="69" t="s">
        <v>1440</v>
      </c>
      <c r="O240" s="41" t="s">
        <v>556</v>
      </c>
      <c r="P240" s="68" t="s">
        <v>1441</v>
      </c>
      <c r="Q240" s="67" t="s">
        <v>363</v>
      </c>
      <c r="R240" s="72" t="s">
        <v>363</v>
      </c>
      <c r="S240" s="56" t="s">
        <v>376</v>
      </c>
      <c r="T240" s="66"/>
      <c r="U240" s="55">
        <v>0</v>
      </c>
      <c r="V240" s="55">
        <v>0</v>
      </c>
      <c r="W240" s="66"/>
      <c r="X240" s="66">
        <v>0</v>
      </c>
      <c r="Y240" s="66"/>
      <c r="Z240" s="28">
        <f t="shared" si="76"/>
        <v>0</v>
      </c>
      <c r="AA240" s="51"/>
      <c r="AB240" s="51"/>
      <c r="AC240" s="51"/>
      <c r="AD240" s="51"/>
      <c r="AE240" s="51"/>
      <c r="AF240" s="51"/>
      <c r="AG240" s="51"/>
      <c r="AH240" s="51"/>
      <c r="AI240" s="51"/>
      <c r="AJ240" s="51"/>
      <c r="AK240" s="51"/>
      <c r="AL240" s="51"/>
      <c r="AM240" s="51"/>
      <c r="AN240" s="51"/>
      <c r="AO240" s="51"/>
      <c r="AP240" s="51"/>
      <c r="AQ240" s="51"/>
      <c r="AR240" s="51"/>
      <c r="AS240" s="65"/>
      <c r="AT240" s="65"/>
      <c r="AU240" s="65"/>
      <c r="AV240" s="51"/>
      <c r="AW240" s="51"/>
      <c r="AX240" s="51"/>
      <c r="AY240" s="51"/>
      <c r="AZ240" s="51"/>
      <c r="BA240" s="51"/>
      <c r="BB240" s="51"/>
      <c r="BC240" s="51"/>
      <c r="BD240" s="51"/>
      <c r="BE240" s="51"/>
      <c r="BF240" s="51"/>
      <c r="BG240" s="51"/>
      <c r="BH240" s="51"/>
      <c r="BI240" s="51"/>
      <c r="BJ240" s="51"/>
      <c r="BK240" s="51"/>
      <c r="BL240" s="51"/>
      <c r="BM240" s="51"/>
      <c r="BN240" s="51"/>
      <c r="BO240" s="51"/>
      <c r="BP240" s="44">
        <f t="shared" si="79"/>
        <v>0</v>
      </c>
      <c r="BQ240" s="44">
        <f t="shared" si="80"/>
        <v>0</v>
      </c>
      <c r="BR240" s="44">
        <f t="shared" si="81"/>
        <v>0</v>
      </c>
      <c r="BS240" s="44">
        <f t="shared" si="82"/>
        <v>0</v>
      </c>
    </row>
    <row r="241" spans="1:71" s="50" customFormat="1" ht="90.6" customHeight="1" x14ac:dyDescent="0.25">
      <c r="A241" s="36" t="s">
        <v>1350</v>
      </c>
      <c r="B241" s="42" t="s">
        <v>1434</v>
      </c>
      <c r="C241" s="70" t="s">
        <v>1435</v>
      </c>
      <c r="D241" s="30" t="str">
        <f t="shared" si="77"/>
        <v>4.1-3.3</v>
      </c>
      <c r="E241" s="42" t="s">
        <v>1444</v>
      </c>
      <c r="F241" s="41" t="s">
        <v>968</v>
      </c>
      <c r="G241" s="64" t="s">
        <v>618</v>
      </c>
      <c r="H241" s="64"/>
      <c r="I241" s="71">
        <v>46174</v>
      </c>
      <c r="J241" s="58">
        <v>46203</v>
      </c>
      <c r="K241" s="42" t="s">
        <v>1445</v>
      </c>
      <c r="L241" s="42" t="s">
        <v>1445</v>
      </c>
      <c r="M241" s="70" t="s">
        <v>1439</v>
      </c>
      <c r="N241" s="69" t="s">
        <v>1440</v>
      </c>
      <c r="O241" s="41" t="s">
        <v>1445</v>
      </c>
      <c r="P241" s="68" t="s">
        <v>1441</v>
      </c>
      <c r="Q241" s="67" t="s">
        <v>516</v>
      </c>
      <c r="R241" s="67" t="s">
        <v>516</v>
      </c>
      <c r="S241" s="41" t="s">
        <v>1446</v>
      </c>
      <c r="T241" s="66"/>
      <c r="U241" s="55">
        <v>0</v>
      </c>
      <c r="V241" s="55">
        <v>0</v>
      </c>
      <c r="W241" s="66">
        <v>1996830</v>
      </c>
      <c r="X241" s="66">
        <v>5984792</v>
      </c>
      <c r="Y241" s="66">
        <v>7018378</v>
      </c>
      <c r="Z241" s="28">
        <f t="shared" si="76"/>
        <v>15000000</v>
      </c>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65"/>
      <c r="AW241" s="65"/>
      <c r="AX241" s="65"/>
      <c r="AY241" s="65"/>
      <c r="AZ241" s="51"/>
      <c r="BA241" s="60">
        <v>1996830</v>
      </c>
      <c r="BB241" s="60">
        <v>5984792</v>
      </c>
      <c r="BC241" s="60">
        <v>7018378</v>
      </c>
      <c r="BD241" s="51"/>
      <c r="BE241" s="51"/>
      <c r="BF241" s="51"/>
      <c r="BG241" s="51"/>
      <c r="BH241" s="51"/>
      <c r="BI241" s="51"/>
      <c r="BJ241" s="51"/>
      <c r="BK241" s="51"/>
      <c r="BL241" s="51"/>
      <c r="BM241" s="51"/>
      <c r="BN241" s="51"/>
      <c r="BO241" s="51"/>
      <c r="BP241" s="44">
        <f t="shared" si="79"/>
        <v>0</v>
      </c>
      <c r="BQ241" s="44">
        <f t="shared" si="80"/>
        <v>0</v>
      </c>
      <c r="BR241" s="44">
        <f t="shared" si="81"/>
        <v>0</v>
      </c>
      <c r="BS241" s="44">
        <f t="shared" si="82"/>
        <v>0</v>
      </c>
    </row>
    <row r="242" spans="1:71" s="50" customFormat="1" ht="90.6" customHeight="1" x14ac:dyDescent="0.25">
      <c r="A242" s="36" t="s">
        <v>1350</v>
      </c>
      <c r="B242" s="42" t="s">
        <v>1434</v>
      </c>
      <c r="C242" s="70" t="s">
        <v>1435</v>
      </c>
      <c r="D242" s="30" t="str">
        <f t="shared" si="77"/>
        <v>4.1-3.4</v>
      </c>
      <c r="E242" s="42" t="s">
        <v>1447</v>
      </c>
      <c r="F242" s="41" t="s">
        <v>968</v>
      </c>
      <c r="G242" s="64" t="s">
        <v>618</v>
      </c>
      <c r="H242" s="64"/>
      <c r="I242" s="71">
        <v>46174</v>
      </c>
      <c r="J242" s="58">
        <v>46203</v>
      </c>
      <c r="K242" s="42" t="s">
        <v>1448</v>
      </c>
      <c r="L242" s="42" t="s">
        <v>1449</v>
      </c>
      <c r="M242" s="70" t="s">
        <v>1439</v>
      </c>
      <c r="N242" s="69" t="s">
        <v>1440</v>
      </c>
      <c r="O242" s="41" t="s">
        <v>1448</v>
      </c>
      <c r="P242" s="68" t="s">
        <v>1441</v>
      </c>
      <c r="Q242" s="67" t="s">
        <v>516</v>
      </c>
      <c r="R242" s="67" t="s">
        <v>516</v>
      </c>
      <c r="S242" s="41" t="s">
        <v>1450</v>
      </c>
      <c r="T242" s="66"/>
      <c r="U242" s="55">
        <v>0</v>
      </c>
      <c r="V242" s="55">
        <v>0</v>
      </c>
      <c r="W242" s="66"/>
      <c r="X242" s="66">
        <v>1935000</v>
      </c>
      <c r="Y242" s="66"/>
      <c r="Z242" s="28">
        <f t="shared" si="76"/>
        <v>1935000</v>
      </c>
      <c r="AA242" s="51"/>
      <c r="AB242" s="51"/>
      <c r="AC242" s="51"/>
      <c r="AD242" s="51"/>
      <c r="AE242" s="51"/>
      <c r="AF242" s="51"/>
      <c r="AG242" s="51"/>
      <c r="AH242" s="51"/>
      <c r="AI242" s="51"/>
      <c r="AJ242" s="51"/>
      <c r="AK242" s="51"/>
      <c r="AL242" s="51"/>
      <c r="AM242" s="51"/>
      <c r="AN242" s="51"/>
      <c r="AO242" s="51"/>
      <c r="AP242" s="51"/>
      <c r="AQ242" s="51"/>
      <c r="AR242" s="51"/>
      <c r="AS242" s="65"/>
      <c r="AT242" s="65"/>
      <c r="AU242" s="65"/>
      <c r="AV242" s="51"/>
      <c r="AW242" s="51"/>
      <c r="AX242" s="51"/>
      <c r="AY242" s="51"/>
      <c r="AZ242" s="51"/>
      <c r="BA242" s="51"/>
      <c r="BB242" s="60">
        <v>1935000</v>
      </c>
      <c r="BC242" s="51"/>
      <c r="BD242" s="51"/>
      <c r="BE242" s="51"/>
      <c r="BF242" s="51"/>
      <c r="BG242" s="51"/>
      <c r="BH242" s="51"/>
      <c r="BI242" s="51"/>
      <c r="BJ242" s="51"/>
      <c r="BK242" s="51"/>
      <c r="BL242" s="51"/>
      <c r="BM242" s="51"/>
      <c r="BN242" s="51"/>
      <c r="BO242" s="51"/>
      <c r="BP242" s="44">
        <f t="shared" si="79"/>
        <v>0</v>
      </c>
      <c r="BQ242" s="44">
        <f t="shared" si="80"/>
        <v>0</v>
      </c>
      <c r="BR242" s="44">
        <f t="shared" si="81"/>
        <v>0</v>
      </c>
      <c r="BS242" s="44">
        <f t="shared" si="82"/>
        <v>0</v>
      </c>
    </row>
    <row r="243" spans="1:71" s="50" customFormat="1" ht="90.6" customHeight="1" x14ac:dyDescent="0.25">
      <c r="A243" s="36" t="s">
        <v>1350</v>
      </c>
      <c r="B243" s="42" t="s">
        <v>1434</v>
      </c>
      <c r="C243" s="70" t="s">
        <v>1435</v>
      </c>
      <c r="D243" s="30" t="str">
        <f t="shared" si="77"/>
        <v>4.1-3.5</v>
      </c>
      <c r="E243" s="42" t="s">
        <v>1451</v>
      </c>
      <c r="F243" s="41" t="s">
        <v>968</v>
      </c>
      <c r="G243" s="64" t="s">
        <v>618</v>
      </c>
      <c r="H243" s="64"/>
      <c r="I243" s="71">
        <v>46235</v>
      </c>
      <c r="J243" s="58">
        <v>46265</v>
      </c>
      <c r="K243" s="42" t="s">
        <v>1452</v>
      </c>
      <c r="L243" s="42" t="s">
        <v>1452</v>
      </c>
      <c r="M243" s="70" t="s">
        <v>1439</v>
      </c>
      <c r="N243" s="69" t="s">
        <v>1440</v>
      </c>
      <c r="O243" s="41" t="s">
        <v>1453</v>
      </c>
      <c r="P243" s="68" t="s">
        <v>1441</v>
      </c>
      <c r="Q243" s="67" t="s">
        <v>363</v>
      </c>
      <c r="R243" s="67" t="s">
        <v>704</v>
      </c>
      <c r="S243" s="41" t="s">
        <v>1454</v>
      </c>
      <c r="T243" s="66">
        <v>0</v>
      </c>
      <c r="U243" s="55">
        <v>0</v>
      </c>
      <c r="V243" s="55">
        <v>0</v>
      </c>
      <c r="W243" s="66"/>
      <c r="X243" s="66">
        <v>22830787</v>
      </c>
      <c r="Y243" s="66">
        <v>2007302</v>
      </c>
      <c r="Z243" s="28">
        <f t="shared" si="76"/>
        <v>24838089</v>
      </c>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65"/>
      <c r="AY243" s="65"/>
      <c r="AZ243" s="51"/>
      <c r="BA243" s="51"/>
      <c r="BB243" s="51"/>
      <c r="BC243" s="51"/>
      <c r="BD243" s="51"/>
      <c r="BE243" s="51"/>
      <c r="BF243" s="51"/>
      <c r="BG243" s="51"/>
      <c r="BH243" s="51"/>
      <c r="BI243" s="51"/>
      <c r="BJ243" s="60">
        <v>22830787</v>
      </c>
      <c r="BK243" s="60">
        <v>2007302</v>
      </c>
      <c r="BL243" s="51"/>
      <c r="BM243" s="51"/>
      <c r="BN243" s="51"/>
      <c r="BO243" s="51"/>
      <c r="BP243" s="44">
        <f t="shared" si="79"/>
        <v>0</v>
      </c>
      <c r="BQ243" s="44">
        <f t="shared" si="80"/>
        <v>0</v>
      </c>
      <c r="BR243" s="44">
        <f t="shared" si="81"/>
        <v>0</v>
      </c>
      <c r="BS243" s="44">
        <f t="shared" si="82"/>
        <v>0</v>
      </c>
    </row>
    <row r="244" spans="1:71" s="50" customFormat="1" ht="90.6" customHeight="1" x14ac:dyDescent="0.25">
      <c r="A244" s="36" t="s">
        <v>1455</v>
      </c>
      <c r="B244" s="42" t="s">
        <v>1456</v>
      </c>
      <c r="C244" s="42" t="s">
        <v>1457</v>
      </c>
      <c r="D244" s="30" t="str">
        <f t="shared" si="77"/>
        <v>4.2-1.1</v>
      </c>
      <c r="E244" s="42" t="s">
        <v>1458</v>
      </c>
      <c r="F244" s="41" t="s">
        <v>247</v>
      </c>
      <c r="G244" s="64"/>
      <c r="H244" s="64" t="s">
        <v>640</v>
      </c>
      <c r="I244" s="59">
        <v>45668</v>
      </c>
      <c r="J244" s="59">
        <v>46295</v>
      </c>
      <c r="K244" s="42" t="s">
        <v>1459</v>
      </c>
      <c r="L244" s="42" t="s">
        <v>1460</v>
      </c>
      <c r="M244" s="42" t="s">
        <v>1461</v>
      </c>
      <c r="N244" s="62" t="s">
        <v>1462</v>
      </c>
      <c r="O244" s="30" t="s">
        <v>1463</v>
      </c>
      <c r="P244" s="41" t="s">
        <v>1464</v>
      </c>
      <c r="Q244" s="41" t="s">
        <v>516</v>
      </c>
      <c r="R244" s="41" t="s">
        <v>516</v>
      </c>
      <c r="S244" s="41" t="s">
        <v>1465</v>
      </c>
      <c r="T244" s="55">
        <v>0</v>
      </c>
      <c r="U244" s="55">
        <v>27000000</v>
      </c>
      <c r="V244" s="55">
        <v>27000000</v>
      </c>
      <c r="W244" s="54"/>
      <c r="X244" s="54"/>
      <c r="Y244" s="54"/>
      <c r="Z244" s="28">
        <f t="shared" si="76"/>
        <v>54000000</v>
      </c>
      <c r="AA244" s="51"/>
      <c r="AB244" s="51"/>
      <c r="AC244" s="51"/>
      <c r="AD244" s="51">
        <v>11000000</v>
      </c>
      <c r="AE244" s="51"/>
      <c r="AF244" s="51"/>
      <c r="AG244" s="51"/>
      <c r="AH244" s="51"/>
      <c r="AI244" s="51"/>
      <c r="AJ244" s="51"/>
      <c r="AK244" s="51"/>
      <c r="AL244" s="51"/>
      <c r="AM244" s="51"/>
      <c r="AN244" s="51"/>
      <c r="AO244" s="51"/>
      <c r="AP244" s="51"/>
      <c r="AQ244" s="51"/>
      <c r="AR244" s="51"/>
      <c r="AS244" s="51"/>
      <c r="AT244" s="51"/>
      <c r="AU244" s="51"/>
      <c r="AV244" s="60">
        <v>27000000</v>
      </c>
      <c r="AW244" s="51"/>
      <c r="AX244" s="51"/>
      <c r="AY244" s="51"/>
      <c r="AZ244" s="51"/>
      <c r="BA244" s="51"/>
      <c r="BB244" s="51"/>
      <c r="BC244" s="51"/>
      <c r="BD244" s="51"/>
      <c r="BE244" s="51"/>
      <c r="BF244" s="51"/>
      <c r="BG244" s="51"/>
      <c r="BH244" s="51"/>
      <c r="BI244" s="51"/>
      <c r="BJ244" s="51"/>
      <c r="BK244" s="51"/>
      <c r="BL244" s="51"/>
      <c r="BM244" s="51"/>
      <c r="BN244" s="51"/>
      <c r="BO244" s="51"/>
      <c r="BP244" s="44">
        <f t="shared" si="79"/>
        <v>-11000000</v>
      </c>
      <c r="BQ244" s="44">
        <f t="shared" si="80"/>
        <v>0</v>
      </c>
      <c r="BR244" s="44">
        <f t="shared" si="81"/>
        <v>0</v>
      </c>
      <c r="BS244" s="44">
        <f t="shared" si="82"/>
        <v>0</v>
      </c>
    </row>
    <row r="245" spans="1:71" s="50" customFormat="1" ht="90.6" customHeight="1" x14ac:dyDescent="0.25">
      <c r="A245" s="36" t="s">
        <v>1466</v>
      </c>
      <c r="B245" s="42" t="s">
        <v>1456</v>
      </c>
      <c r="C245" s="32" t="s">
        <v>1457</v>
      </c>
      <c r="D245" s="30" t="str">
        <f t="shared" si="77"/>
        <v>4.2-1.2</v>
      </c>
      <c r="E245" s="32" t="s">
        <v>1467</v>
      </c>
      <c r="F245" s="30" t="s">
        <v>247</v>
      </c>
      <c r="G245" s="49"/>
      <c r="H245" s="49" t="s">
        <v>640</v>
      </c>
      <c r="I245" s="59">
        <v>45931</v>
      </c>
      <c r="J245" s="58">
        <v>46264</v>
      </c>
      <c r="K245" s="42"/>
      <c r="L245" s="42" t="s">
        <v>1460</v>
      </c>
      <c r="M245" s="42" t="s">
        <v>1468</v>
      </c>
      <c r="N245" s="62" t="s">
        <v>1462</v>
      </c>
      <c r="O245" s="57" t="s">
        <v>1469</v>
      </c>
      <c r="P245" s="41" t="s">
        <v>1464</v>
      </c>
      <c r="Q245" s="41" t="s">
        <v>363</v>
      </c>
      <c r="R245" s="41" t="s">
        <v>363</v>
      </c>
      <c r="S245" s="41" t="s">
        <v>376</v>
      </c>
      <c r="T245" s="54">
        <v>0</v>
      </c>
      <c r="U245" s="54"/>
      <c r="V245" s="54">
        <v>0</v>
      </c>
      <c r="W245" s="54"/>
      <c r="X245" s="54"/>
      <c r="Y245" s="54"/>
      <c r="Z245" s="28">
        <f t="shared" si="76"/>
        <v>0</v>
      </c>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44">
        <f t="shared" si="79"/>
        <v>0</v>
      </c>
      <c r="BQ245" s="44">
        <f t="shared" si="80"/>
        <v>0</v>
      </c>
      <c r="BR245" s="44">
        <f t="shared" si="81"/>
        <v>0</v>
      </c>
      <c r="BS245" s="44">
        <f t="shared" si="82"/>
        <v>0</v>
      </c>
    </row>
    <row r="246" spans="1:71" s="50" customFormat="1" ht="90.6" customHeight="1" x14ac:dyDescent="0.25">
      <c r="A246" s="36" t="s">
        <v>1466</v>
      </c>
      <c r="B246" s="42" t="s">
        <v>1456</v>
      </c>
      <c r="C246" s="32" t="s">
        <v>1457</v>
      </c>
      <c r="D246" s="30" t="str">
        <f t="shared" si="77"/>
        <v>4.2-1.3</v>
      </c>
      <c r="E246" s="32" t="s">
        <v>1470</v>
      </c>
      <c r="F246" s="30" t="s">
        <v>247</v>
      </c>
      <c r="G246" s="49"/>
      <c r="H246" s="49"/>
      <c r="I246" s="59">
        <v>46054</v>
      </c>
      <c r="J246" s="58">
        <v>46203</v>
      </c>
      <c r="K246" s="42" t="s">
        <v>1471</v>
      </c>
      <c r="L246" s="42" t="s">
        <v>1460</v>
      </c>
      <c r="M246" s="42" t="s">
        <v>1472</v>
      </c>
      <c r="N246" s="62" t="s">
        <v>1462</v>
      </c>
      <c r="O246" s="57" t="s">
        <v>1473</v>
      </c>
      <c r="P246" s="41" t="s">
        <v>1464</v>
      </c>
      <c r="Q246" s="41" t="s">
        <v>363</v>
      </c>
      <c r="R246" s="41" t="s">
        <v>363</v>
      </c>
      <c r="S246" s="41" t="s">
        <v>1474</v>
      </c>
      <c r="T246" s="54">
        <v>0</v>
      </c>
      <c r="U246" s="55">
        <v>0</v>
      </c>
      <c r="V246" s="55">
        <v>0</v>
      </c>
      <c r="W246" s="54">
        <v>2242000</v>
      </c>
      <c r="X246" s="54"/>
      <c r="Y246" s="54"/>
      <c r="Z246" s="28">
        <f t="shared" si="76"/>
        <v>2242000</v>
      </c>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63"/>
      <c r="AW246" s="60">
        <v>2242000</v>
      </c>
      <c r="AX246" s="51"/>
      <c r="AY246" s="51"/>
      <c r="AZ246" s="51"/>
      <c r="BA246" s="51"/>
      <c r="BB246" s="51"/>
      <c r="BC246" s="51"/>
      <c r="BD246" s="51"/>
      <c r="BE246" s="51"/>
      <c r="BF246" s="51"/>
      <c r="BG246" s="51"/>
      <c r="BH246" s="51"/>
      <c r="BI246" s="51"/>
      <c r="BJ246" s="51"/>
      <c r="BK246" s="51"/>
      <c r="BL246" s="51"/>
      <c r="BM246" s="51"/>
      <c r="BN246" s="51"/>
      <c r="BO246" s="51"/>
      <c r="BP246" s="44">
        <f t="shared" si="79"/>
        <v>0</v>
      </c>
      <c r="BQ246" s="44">
        <f t="shared" si="80"/>
        <v>0</v>
      </c>
      <c r="BR246" s="44">
        <f t="shared" si="81"/>
        <v>0</v>
      </c>
      <c r="BS246" s="44">
        <f t="shared" si="82"/>
        <v>0</v>
      </c>
    </row>
    <row r="247" spans="1:71" s="50" customFormat="1" ht="90.6" customHeight="1" x14ac:dyDescent="0.25">
      <c r="A247" s="36" t="s">
        <v>1466</v>
      </c>
      <c r="B247" s="42" t="s">
        <v>1456</v>
      </c>
      <c r="C247" s="32" t="s">
        <v>1457</v>
      </c>
      <c r="D247" s="30" t="str">
        <f t="shared" si="77"/>
        <v>4.2-1.4</v>
      </c>
      <c r="E247" s="32" t="s">
        <v>1475</v>
      </c>
      <c r="F247" s="30" t="s">
        <v>247</v>
      </c>
      <c r="G247" s="49"/>
      <c r="H247" s="49"/>
      <c r="I247" s="59">
        <v>46054</v>
      </c>
      <c r="J247" s="58">
        <v>46233</v>
      </c>
      <c r="K247" s="42" t="s">
        <v>1476</v>
      </c>
      <c r="L247" s="42" t="s">
        <v>1460</v>
      </c>
      <c r="M247" s="42" t="s">
        <v>1477</v>
      </c>
      <c r="N247" s="62" t="s">
        <v>1462</v>
      </c>
      <c r="O247" s="57" t="s">
        <v>1473</v>
      </c>
      <c r="P247" s="41" t="s">
        <v>1464</v>
      </c>
      <c r="Q247" s="41" t="s">
        <v>363</v>
      </c>
      <c r="R247" s="41" t="s">
        <v>363</v>
      </c>
      <c r="S247" s="41" t="s">
        <v>1474</v>
      </c>
      <c r="T247" s="54">
        <v>0</v>
      </c>
      <c r="U247" s="55">
        <v>0</v>
      </c>
      <c r="V247" s="55">
        <v>0</v>
      </c>
      <c r="W247" s="54"/>
      <c r="X247" s="54"/>
      <c r="Y247" s="54">
        <v>2424000</v>
      </c>
      <c r="Z247" s="28">
        <f t="shared" si="76"/>
        <v>2424000</v>
      </c>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37">
        <v>2424000</v>
      </c>
      <c r="BD247" s="51"/>
      <c r="BE247" s="51"/>
      <c r="BF247" s="51"/>
      <c r="BG247" s="51"/>
      <c r="BH247" s="51"/>
      <c r="BI247" s="51"/>
      <c r="BJ247" s="51"/>
      <c r="BK247" s="51"/>
      <c r="BL247" s="51"/>
      <c r="BM247" s="51"/>
      <c r="BN247" s="51"/>
      <c r="BO247" s="51"/>
      <c r="BP247" s="44">
        <f t="shared" si="79"/>
        <v>0</v>
      </c>
      <c r="BQ247" s="44">
        <f t="shared" si="80"/>
        <v>0</v>
      </c>
      <c r="BR247" s="44">
        <f t="shared" si="81"/>
        <v>0</v>
      </c>
      <c r="BS247" s="44">
        <f t="shared" si="82"/>
        <v>0</v>
      </c>
    </row>
    <row r="248" spans="1:71" s="50" customFormat="1" ht="90.6" customHeight="1" x14ac:dyDescent="0.25">
      <c r="A248" s="36" t="s">
        <v>1466</v>
      </c>
      <c r="B248" s="42" t="s">
        <v>1478</v>
      </c>
      <c r="C248" s="32" t="s">
        <v>1479</v>
      </c>
      <c r="D248" s="30" t="str">
        <f t="shared" si="77"/>
        <v>4.2-2.1</v>
      </c>
      <c r="E248" s="32" t="s">
        <v>1480</v>
      </c>
      <c r="F248" s="30" t="s">
        <v>247</v>
      </c>
      <c r="G248" s="49" t="s">
        <v>450</v>
      </c>
      <c r="H248" s="49"/>
      <c r="I248" s="59">
        <v>46023</v>
      </c>
      <c r="J248" s="58">
        <v>46233</v>
      </c>
      <c r="K248" s="42"/>
      <c r="L248" s="42" t="s">
        <v>1481</v>
      </c>
      <c r="M248" s="42" t="s">
        <v>1482</v>
      </c>
      <c r="N248" s="42" t="s">
        <v>1483</v>
      </c>
      <c r="O248" s="57" t="s">
        <v>887</v>
      </c>
      <c r="P248" s="41" t="s">
        <v>1484</v>
      </c>
      <c r="Q248" s="41" t="s">
        <v>363</v>
      </c>
      <c r="R248" s="41" t="s">
        <v>415</v>
      </c>
      <c r="S248" s="41" t="s">
        <v>1485</v>
      </c>
      <c r="T248" s="54">
        <v>0</v>
      </c>
      <c r="U248" s="54"/>
      <c r="V248" s="54">
        <v>0</v>
      </c>
      <c r="W248" s="54">
        <v>814060</v>
      </c>
      <c r="X248" s="54">
        <v>0</v>
      </c>
      <c r="Y248" s="54">
        <v>22824200</v>
      </c>
      <c r="Z248" s="28">
        <f t="shared" si="76"/>
        <v>23638260</v>
      </c>
      <c r="AA248" s="51"/>
      <c r="AB248" s="51"/>
      <c r="AC248" s="51"/>
      <c r="AD248" s="51"/>
      <c r="AE248" s="51"/>
      <c r="AF248" s="51"/>
      <c r="AG248" s="51"/>
      <c r="AH248" s="51"/>
      <c r="AI248" s="51"/>
      <c r="AJ248" s="61"/>
      <c r="AK248" s="52">
        <f>7750000+1079000+490000+140000+89490</f>
        <v>9548490</v>
      </c>
      <c r="AL248" s="52">
        <f>1254750+151000+1500000</f>
        <v>2905750</v>
      </c>
      <c r="AM248" s="51"/>
      <c r="AN248" s="51"/>
      <c r="AO248" s="51"/>
      <c r="AP248" s="51"/>
      <c r="AQ248" s="51"/>
      <c r="AR248" s="51"/>
      <c r="AS248" s="51"/>
      <c r="AT248" s="51"/>
      <c r="AU248" s="51"/>
      <c r="AV248" s="51"/>
      <c r="AW248" s="51"/>
      <c r="AX248" s="51"/>
      <c r="AY248" s="51"/>
      <c r="AZ248" s="51"/>
      <c r="BA248" s="51"/>
      <c r="BB248" s="51"/>
      <c r="BC248" s="60">
        <v>22824200</v>
      </c>
      <c r="BD248" s="51"/>
      <c r="BE248" s="51"/>
      <c r="BF248" s="51"/>
      <c r="BG248" s="51"/>
      <c r="BH248" s="51"/>
      <c r="BI248" s="51"/>
      <c r="BJ248" s="51"/>
      <c r="BK248" s="51"/>
      <c r="BL248" s="51"/>
      <c r="BM248" s="51"/>
      <c r="BN248" s="51"/>
      <c r="BO248" s="51"/>
      <c r="BP248" s="44">
        <f t="shared" si="79"/>
        <v>0</v>
      </c>
      <c r="BQ248" s="44">
        <f t="shared" si="80"/>
        <v>0</v>
      </c>
      <c r="BR248" s="44">
        <f t="shared" si="81"/>
        <v>-8734430</v>
      </c>
      <c r="BS248" s="44">
        <f t="shared" si="82"/>
        <v>-2905750</v>
      </c>
    </row>
    <row r="249" spans="1:71" s="50" customFormat="1" ht="90.6" customHeight="1" x14ac:dyDescent="0.25">
      <c r="A249" s="36" t="s">
        <v>1466</v>
      </c>
      <c r="B249" s="42" t="s">
        <v>1478</v>
      </c>
      <c r="C249" s="32" t="s">
        <v>1479</v>
      </c>
      <c r="D249" s="30" t="str">
        <f t="shared" si="77"/>
        <v>4.2-2.2</v>
      </c>
      <c r="E249" s="32" t="s">
        <v>1486</v>
      </c>
      <c r="F249" s="30" t="s">
        <v>247</v>
      </c>
      <c r="G249" s="49" t="s">
        <v>450</v>
      </c>
      <c r="H249" s="49"/>
      <c r="I249" s="59">
        <v>46026</v>
      </c>
      <c r="J249" s="58">
        <v>46111</v>
      </c>
      <c r="K249" s="42" t="s">
        <v>1487</v>
      </c>
      <c r="L249" s="42" t="s">
        <v>1481</v>
      </c>
      <c r="M249" s="42" t="s">
        <v>1488</v>
      </c>
      <c r="N249" s="42" t="s">
        <v>1483</v>
      </c>
      <c r="O249" s="57" t="s">
        <v>887</v>
      </c>
      <c r="P249" s="41" t="s">
        <v>1484</v>
      </c>
      <c r="Q249" s="41" t="s">
        <v>363</v>
      </c>
      <c r="R249" s="41" t="s">
        <v>363</v>
      </c>
      <c r="S249" s="56" t="s">
        <v>376</v>
      </c>
      <c r="T249" s="54"/>
      <c r="U249" s="55">
        <v>0</v>
      </c>
      <c r="V249" s="55">
        <v>0</v>
      </c>
      <c r="W249" s="54">
        <v>0</v>
      </c>
      <c r="X249" s="54">
        <v>0</v>
      </c>
      <c r="Y249" s="54"/>
      <c r="Z249" s="28">
        <f t="shared" si="76"/>
        <v>0</v>
      </c>
      <c r="AA249" s="53"/>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2"/>
      <c r="AX249" s="52"/>
      <c r="AY249" s="52"/>
      <c r="AZ249" s="51"/>
      <c r="BA249" s="51"/>
      <c r="BB249" s="51"/>
      <c r="BC249" s="51"/>
      <c r="BD249" s="51"/>
      <c r="BE249" s="51"/>
      <c r="BF249" s="51"/>
      <c r="BG249" s="51"/>
      <c r="BH249" s="51"/>
      <c r="BI249" s="51"/>
      <c r="BJ249" s="51"/>
      <c r="BK249" s="51"/>
      <c r="BL249" s="51"/>
      <c r="BM249" s="51"/>
      <c r="BN249" s="51"/>
      <c r="BO249" s="51"/>
      <c r="BP249" s="44">
        <f t="shared" si="79"/>
        <v>0</v>
      </c>
      <c r="BQ249" s="44">
        <f t="shared" si="80"/>
        <v>0</v>
      </c>
      <c r="BR249" s="44">
        <f t="shared" si="81"/>
        <v>0</v>
      </c>
      <c r="BS249" s="44">
        <f t="shared" si="82"/>
        <v>0</v>
      </c>
    </row>
    <row r="250" spans="1:71" ht="90.6" customHeight="1" x14ac:dyDescent="0.25">
      <c r="A250" s="36" t="s">
        <v>1466</v>
      </c>
      <c r="B250" s="42" t="s">
        <v>1478</v>
      </c>
      <c r="C250" s="32" t="s">
        <v>1479</v>
      </c>
      <c r="D250" s="30" t="str">
        <f t="shared" si="77"/>
        <v>4.2-2.3</v>
      </c>
      <c r="E250" s="32" t="s">
        <v>1489</v>
      </c>
      <c r="F250" s="30" t="s">
        <v>247</v>
      </c>
      <c r="G250" s="49" t="s">
        <v>355</v>
      </c>
      <c r="H250" s="49"/>
      <c r="I250" s="33">
        <v>45931</v>
      </c>
      <c r="J250" s="33" t="s">
        <v>1490</v>
      </c>
      <c r="K250" s="43" t="s">
        <v>1357</v>
      </c>
      <c r="L250" s="42" t="s">
        <v>1481</v>
      </c>
      <c r="M250" s="43" t="s">
        <v>1359</v>
      </c>
      <c r="N250" s="42" t="s">
        <v>1483</v>
      </c>
      <c r="O250" s="189" t="s">
        <v>556</v>
      </c>
      <c r="P250" s="41" t="s">
        <v>1484</v>
      </c>
      <c r="Q250" s="30" t="s">
        <v>363</v>
      </c>
      <c r="R250" s="30" t="s">
        <v>363</v>
      </c>
      <c r="S250" s="189" t="s">
        <v>1491</v>
      </c>
      <c r="T250" s="29"/>
      <c r="U250" s="48"/>
      <c r="V250" s="48">
        <v>0</v>
      </c>
      <c r="W250" s="29"/>
      <c r="X250" s="29">
        <v>6857390</v>
      </c>
      <c r="Y250" s="29"/>
      <c r="Z250" s="28">
        <f t="shared" si="76"/>
        <v>6857390</v>
      </c>
      <c r="AA250" s="45"/>
      <c r="AB250" s="45"/>
      <c r="AC250" s="45"/>
      <c r="AD250" s="45"/>
      <c r="AE250" s="45"/>
      <c r="AF250" s="47">
        <v>7107390</v>
      </c>
      <c r="AG250" s="45"/>
      <c r="AH250" s="45"/>
      <c r="AI250" s="45"/>
      <c r="AJ250" s="45"/>
      <c r="AK250" s="45"/>
      <c r="AL250" s="45"/>
      <c r="AM250" s="45"/>
      <c r="AN250" s="45"/>
      <c r="AO250" s="45"/>
      <c r="AP250" s="45"/>
      <c r="AQ250" s="45"/>
      <c r="AR250" s="45"/>
      <c r="AS250" s="45"/>
      <c r="AT250" s="45"/>
      <c r="AU250" s="45"/>
      <c r="AV250" s="45"/>
      <c r="AW250" s="45"/>
      <c r="AX250" s="46">
        <v>393586</v>
      </c>
      <c r="AY250" s="45"/>
      <c r="AZ250" s="45"/>
      <c r="BA250" s="45"/>
      <c r="BB250" s="45"/>
      <c r="BC250" s="45"/>
      <c r="BD250" s="45"/>
      <c r="BE250" s="45"/>
      <c r="BF250" s="45"/>
      <c r="BG250" s="45"/>
      <c r="BH250" s="45"/>
      <c r="BI250" s="45"/>
      <c r="BJ250" s="45"/>
      <c r="BK250" s="45"/>
      <c r="BL250" s="45"/>
      <c r="BM250" s="45"/>
      <c r="BN250" s="45"/>
      <c r="BO250" s="45"/>
      <c r="BP250" s="44">
        <f t="shared" si="79"/>
        <v>0</v>
      </c>
      <c r="BQ250" s="44">
        <f t="shared" si="80"/>
        <v>0</v>
      </c>
      <c r="BR250" s="44">
        <f t="shared" si="81"/>
        <v>0</v>
      </c>
      <c r="BS250" s="44">
        <f t="shared" si="82"/>
        <v>-643586</v>
      </c>
    </row>
    <row r="251" spans="1:71" ht="90.6" customHeight="1" x14ac:dyDescent="0.25">
      <c r="A251" s="36" t="s">
        <v>1466</v>
      </c>
      <c r="B251" s="42" t="s">
        <v>1478</v>
      </c>
      <c r="C251" s="32" t="s">
        <v>1479</v>
      </c>
      <c r="D251" s="30" t="str">
        <f t="shared" si="77"/>
        <v>4.2-2.4</v>
      </c>
      <c r="E251" s="32" t="s">
        <v>1492</v>
      </c>
      <c r="F251" s="35" t="s">
        <v>247</v>
      </c>
      <c r="G251" s="34" t="s">
        <v>461</v>
      </c>
      <c r="H251" s="34" t="s">
        <v>667</v>
      </c>
      <c r="I251" s="33">
        <v>45931</v>
      </c>
      <c r="J251" s="35" t="s">
        <v>1281</v>
      </c>
      <c r="K251" s="32" t="s">
        <v>1493</v>
      </c>
      <c r="L251" s="42" t="s">
        <v>1481</v>
      </c>
      <c r="M251" s="43" t="s">
        <v>1356</v>
      </c>
      <c r="N251" s="42" t="s">
        <v>1483</v>
      </c>
      <c r="O251" s="30" t="s">
        <v>1494</v>
      </c>
      <c r="P251" s="41" t="s">
        <v>1484</v>
      </c>
      <c r="Q251" s="30" t="s">
        <v>363</v>
      </c>
      <c r="R251" s="30" t="s">
        <v>363</v>
      </c>
      <c r="S251" s="30" t="s">
        <v>376</v>
      </c>
      <c r="T251" s="29"/>
      <c r="U251" s="29"/>
      <c r="V251" s="29">
        <v>0</v>
      </c>
      <c r="W251" s="29"/>
      <c r="X251" s="29"/>
      <c r="Y251" s="29"/>
      <c r="Z251" s="28">
        <f t="shared" si="76"/>
        <v>0</v>
      </c>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5"/>
      <c r="BE251" s="45"/>
      <c r="BF251" s="45"/>
      <c r="BG251" s="45"/>
      <c r="BH251" s="45"/>
      <c r="BI251" s="45"/>
      <c r="BJ251" s="45"/>
      <c r="BK251" s="45"/>
      <c r="BL251" s="45"/>
      <c r="BM251" s="45"/>
      <c r="BN251" s="45"/>
      <c r="BO251" s="45"/>
      <c r="BP251" s="44">
        <f t="shared" si="79"/>
        <v>0</v>
      </c>
      <c r="BQ251" s="44">
        <f t="shared" si="80"/>
        <v>0</v>
      </c>
      <c r="BR251" s="44">
        <f t="shared" si="81"/>
        <v>0</v>
      </c>
      <c r="BS251" s="44">
        <f t="shared" si="82"/>
        <v>0</v>
      </c>
    </row>
    <row r="252" spans="1:71" ht="90.6" customHeight="1" x14ac:dyDescent="0.25">
      <c r="A252" s="36" t="s">
        <v>1466</v>
      </c>
      <c r="B252" s="42" t="s">
        <v>1478</v>
      </c>
      <c r="C252" s="32" t="s">
        <v>1479</v>
      </c>
      <c r="D252" s="30" t="str">
        <f t="shared" si="77"/>
        <v>4.2-2.5</v>
      </c>
      <c r="E252" s="32" t="s">
        <v>1495</v>
      </c>
      <c r="F252" s="35" t="s">
        <v>247</v>
      </c>
      <c r="G252" s="34" t="s">
        <v>450</v>
      </c>
      <c r="H252" s="34"/>
      <c r="I252" s="33">
        <v>46143</v>
      </c>
      <c r="J252" s="33">
        <v>46203</v>
      </c>
      <c r="K252" s="32" t="s">
        <v>1496</v>
      </c>
      <c r="L252" s="42" t="s">
        <v>1481</v>
      </c>
      <c r="M252" s="43" t="s">
        <v>1356</v>
      </c>
      <c r="N252" s="42" t="s">
        <v>1483</v>
      </c>
      <c r="O252" s="30" t="s">
        <v>1497</v>
      </c>
      <c r="P252" s="41" t="s">
        <v>1484</v>
      </c>
      <c r="Q252" s="30" t="s">
        <v>363</v>
      </c>
      <c r="R252" s="30" t="s">
        <v>466</v>
      </c>
      <c r="S252" s="30" t="s">
        <v>1498</v>
      </c>
      <c r="T252" s="29"/>
      <c r="U252" s="29"/>
      <c r="V252" s="29">
        <v>0</v>
      </c>
      <c r="W252" s="29"/>
      <c r="X252" s="29"/>
      <c r="Y252" s="29">
        <v>1800000</v>
      </c>
      <c r="Z252" s="28">
        <f t="shared" si="76"/>
        <v>1800000</v>
      </c>
      <c r="AA252" s="27"/>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37">
        <v>1800000</v>
      </c>
      <c r="BD252" s="27"/>
      <c r="BE252" s="27"/>
      <c r="BF252" s="27"/>
      <c r="BG252" s="27"/>
      <c r="BH252" s="27"/>
      <c r="BI252" s="27"/>
      <c r="BJ252" s="27"/>
      <c r="BK252" s="27"/>
      <c r="BL252" s="27"/>
      <c r="BM252" s="27"/>
      <c r="BN252" s="27"/>
      <c r="BO252" s="27"/>
      <c r="BP252" s="26"/>
      <c r="BQ252" s="26"/>
      <c r="BR252" s="26"/>
      <c r="BS252" s="26"/>
    </row>
    <row r="253" spans="1:71" ht="90.6" customHeight="1" x14ac:dyDescent="0.25">
      <c r="A253" s="36" t="s">
        <v>1466</v>
      </c>
      <c r="B253" s="32" t="s">
        <v>1499</v>
      </c>
      <c r="C253" s="32" t="s">
        <v>1500</v>
      </c>
      <c r="D253" s="30" t="str">
        <f t="shared" si="77"/>
        <v>4.2.3.1</v>
      </c>
      <c r="E253" s="32" t="s">
        <v>1501</v>
      </c>
      <c r="F253" s="35" t="s">
        <v>247</v>
      </c>
      <c r="G253" s="34" t="s">
        <v>450</v>
      </c>
      <c r="H253" s="34"/>
      <c r="I253" s="33">
        <v>46143</v>
      </c>
      <c r="J253" s="33">
        <v>46233</v>
      </c>
      <c r="K253" s="32" t="s">
        <v>1502</v>
      </c>
      <c r="L253" s="32" t="s">
        <v>1503</v>
      </c>
      <c r="M253" s="38"/>
      <c r="N253" s="32" t="s">
        <v>1504</v>
      </c>
      <c r="O253" s="30" t="s">
        <v>1505</v>
      </c>
      <c r="P253" s="30" t="s">
        <v>1506</v>
      </c>
      <c r="Q253" s="30" t="s">
        <v>363</v>
      </c>
      <c r="R253" s="30" t="s">
        <v>363</v>
      </c>
      <c r="S253" s="30" t="s">
        <v>376</v>
      </c>
      <c r="T253" s="29"/>
      <c r="U253" s="29"/>
      <c r="V253" s="29">
        <v>0</v>
      </c>
      <c r="W253" s="29"/>
      <c r="X253" s="29"/>
      <c r="Y253" s="29"/>
      <c r="Z253" s="28"/>
      <c r="AA253" s="27"/>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7"/>
      <c r="BO253" s="27"/>
      <c r="BP253" s="26"/>
      <c r="BQ253" s="26"/>
      <c r="BR253" s="26"/>
      <c r="BS253" s="26"/>
    </row>
    <row r="254" spans="1:71" ht="90.6" customHeight="1" x14ac:dyDescent="0.25">
      <c r="A254" s="36" t="s">
        <v>1466</v>
      </c>
      <c r="B254" s="32" t="s">
        <v>1499</v>
      </c>
      <c r="C254" s="32" t="s">
        <v>1500</v>
      </c>
      <c r="D254" s="30" t="str">
        <f t="shared" si="77"/>
        <v>4.2.3.2</v>
      </c>
      <c r="E254" s="32" t="s">
        <v>1507</v>
      </c>
      <c r="F254" s="35" t="s">
        <v>247</v>
      </c>
      <c r="G254" s="34" t="s">
        <v>450</v>
      </c>
      <c r="H254" s="34"/>
      <c r="I254" s="33">
        <v>46143</v>
      </c>
      <c r="J254" s="33">
        <v>46233</v>
      </c>
      <c r="K254" s="40" t="s">
        <v>1508</v>
      </c>
      <c r="L254" s="32" t="s">
        <v>1503</v>
      </c>
      <c r="M254" s="38"/>
      <c r="N254" s="32" t="s">
        <v>1504</v>
      </c>
      <c r="O254" s="39" t="s">
        <v>1509</v>
      </c>
      <c r="P254" s="30" t="s">
        <v>1506</v>
      </c>
      <c r="Q254" s="31" t="s">
        <v>363</v>
      </c>
      <c r="R254" s="30" t="s">
        <v>415</v>
      </c>
      <c r="S254" s="30" t="s">
        <v>376</v>
      </c>
      <c r="T254" s="29"/>
      <c r="U254" s="29"/>
      <c r="V254" s="29">
        <v>0</v>
      </c>
      <c r="W254" s="29"/>
      <c r="X254" s="29"/>
      <c r="Y254" s="29"/>
      <c r="Z254" s="28">
        <f>SUM(T254:Y254)</f>
        <v>0</v>
      </c>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c r="BO254" s="27"/>
      <c r="BP254" s="26"/>
      <c r="BQ254" s="26"/>
      <c r="BR254" s="26"/>
      <c r="BS254" s="26"/>
    </row>
    <row r="255" spans="1:71" ht="90.6" customHeight="1" x14ac:dyDescent="0.25">
      <c r="A255" s="36" t="s">
        <v>1466</v>
      </c>
      <c r="B255" s="32" t="s">
        <v>1499</v>
      </c>
      <c r="C255" s="32" t="s">
        <v>1500</v>
      </c>
      <c r="D255" s="30" t="str">
        <f t="shared" si="77"/>
        <v>4.2.3.3</v>
      </c>
      <c r="E255" s="32" t="s">
        <v>1510</v>
      </c>
      <c r="F255" s="35" t="s">
        <v>247</v>
      </c>
      <c r="G255" s="34" t="s">
        <v>450</v>
      </c>
      <c r="H255" s="34"/>
      <c r="I255" s="33">
        <v>46143</v>
      </c>
      <c r="J255" s="33">
        <v>46295</v>
      </c>
      <c r="K255" s="32" t="s">
        <v>1511</v>
      </c>
      <c r="L255" s="32" t="s">
        <v>1503</v>
      </c>
      <c r="M255" s="38"/>
      <c r="N255" s="32" t="s">
        <v>1512</v>
      </c>
      <c r="O255" s="30" t="s">
        <v>1513</v>
      </c>
      <c r="P255" s="30" t="s">
        <v>1506</v>
      </c>
      <c r="Q255" s="30" t="s">
        <v>363</v>
      </c>
      <c r="R255" s="30" t="s">
        <v>363</v>
      </c>
      <c r="S255" s="30" t="s">
        <v>1514</v>
      </c>
      <c r="T255" s="29"/>
      <c r="U255" s="29"/>
      <c r="V255" s="29">
        <v>0</v>
      </c>
      <c r="W255" s="29"/>
      <c r="X255" s="29"/>
      <c r="Y255" s="29">
        <v>8000000</v>
      </c>
      <c r="Z255" s="28">
        <f>SUM(T255:Y255)</f>
        <v>8000000</v>
      </c>
      <c r="AA255" s="27"/>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37">
        <v>8000000</v>
      </c>
      <c r="AZ255" s="27"/>
      <c r="BA255" s="27"/>
      <c r="BB255" s="27"/>
      <c r="BC255" s="27"/>
      <c r="BD255" s="27"/>
      <c r="BE255" s="27"/>
      <c r="BF255" s="27"/>
      <c r="BG255" s="27"/>
      <c r="BH255" s="27"/>
      <c r="BI255" s="27"/>
      <c r="BJ255" s="27"/>
      <c r="BK255" s="27"/>
      <c r="BL255" s="27"/>
      <c r="BM255" s="27"/>
      <c r="BN255" s="27"/>
      <c r="BO255" s="27"/>
      <c r="BP255" s="26"/>
      <c r="BQ255" s="26"/>
      <c r="BR255" s="26"/>
      <c r="BS255" s="26"/>
    </row>
    <row r="256" spans="1:71" ht="90.6" customHeight="1" x14ac:dyDescent="0.25">
      <c r="A256" s="36" t="s">
        <v>1466</v>
      </c>
      <c r="B256" s="32" t="s">
        <v>1499</v>
      </c>
      <c r="C256" s="32" t="s">
        <v>1500</v>
      </c>
      <c r="D256" s="30" t="str">
        <f t="shared" si="77"/>
        <v>4.2.3.4</v>
      </c>
      <c r="E256" s="32" t="s">
        <v>1515</v>
      </c>
      <c r="F256" s="35" t="s">
        <v>247</v>
      </c>
      <c r="G256" s="34" t="s">
        <v>450</v>
      </c>
      <c r="H256" s="34"/>
      <c r="I256" s="33">
        <v>46174</v>
      </c>
      <c r="J256" s="33">
        <v>46203</v>
      </c>
      <c r="K256" s="32" t="s">
        <v>1516</v>
      </c>
      <c r="L256" s="32" t="s">
        <v>1503</v>
      </c>
      <c r="M256" s="38"/>
      <c r="N256" s="32" t="s">
        <v>1512</v>
      </c>
      <c r="O256" s="30" t="s">
        <v>1517</v>
      </c>
      <c r="P256" s="30" t="s">
        <v>1506</v>
      </c>
      <c r="Q256" s="30" t="s">
        <v>363</v>
      </c>
      <c r="R256" s="30" t="s">
        <v>363</v>
      </c>
      <c r="S256" s="30" t="s">
        <v>1518</v>
      </c>
      <c r="T256" s="29"/>
      <c r="U256" s="29"/>
      <c r="V256" s="29">
        <v>0</v>
      </c>
      <c r="W256" s="29"/>
      <c r="X256" s="29"/>
      <c r="Y256" s="29">
        <v>5000000</v>
      </c>
      <c r="Z256" s="28">
        <f>SUM(T256:Y256)</f>
        <v>5000000</v>
      </c>
      <c r="AA256" s="27"/>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c r="AZ256" s="27"/>
      <c r="BA256" s="27"/>
      <c r="BB256" s="27"/>
      <c r="BC256" s="37">
        <v>5000000</v>
      </c>
      <c r="BD256" s="27"/>
      <c r="BE256" s="27"/>
      <c r="BF256" s="27"/>
      <c r="BG256" s="27"/>
      <c r="BH256" s="27"/>
      <c r="BI256" s="27"/>
      <c r="BJ256" s="27"/>
      <c r="BK256" s="27"/>
      <c r="BL256" s="27"/>
      <c r="BM256" s="27"/>
      <c r="BN256" s="27"/>
      <c r="BO256" s="27"/>
      <c r="BP256" s="26"/>
      <c r="BQ256" s="26"/>
      <c r="BR256" s="26"/>
      <c r="BS256" s="26"/>
    </row>
    <row r="257" spans="1:71" ht="90.6" customHeight="1" x14ac:dyDescent="0.25">
      <c r="A257" s="36" t="s">
        <v>1466</v>
      </c>
      <c r="B257" s="32" t="s">
        <v>1519</v>
      </c>
      <c r="C257" s="32" t="s">
        <v>1520</v>
      </c>
      <c r="D257" s="30" t="str">
        <f t="shared" si="77"/>
        <v>4.2.4.1</v>
      </c>
      <c r="E257" s="32" t="s">
        <v>265</v>
      </c>
      <c r="F257" s="35" t="s">
        <v>247</v>
      </c>
      <c r="G257" s="34" t="s">
        <v>450</v>
      </c>
      <c r="H257" s="34"/>
      <c r="I257" s="33">
        <v>46174</v>
      </c>
      <c r="J257" s="33">
        <v>46295</v>
      </c>
      <c r="K257" s="32" t="s">
        <v>1521</v>
      </c>
      <c r="L257" s="32" t="s">
        <v>1522</v>
      </c>
      <c r="M257" s="38"/>
      <c r="N257" s="32" t="s">
        <v>1523</v>
      </c>
      <c r="O257" s="30" t="s">
        <v>1524</v>
      </c>
      <c r="P257" s="30" t="s">
        <v>1525</v>
      </c>
      <c r="Q257" s="30" t="s">
        <v>363</v>
      </c>
      <c r="R257" s="30" t="s">
        <v>363</v>
      </c>
      <c r="S257" s="30" t="s">
        <v>376</v>
      </c>
      <c r="T257" s="29"/>
      <c r="U257" s="29"/>
      <c r="V257" s="29">
        <v>0</v>
      </c>
      <c r="W257" s="29"/>
      <c r="X257" s="29"/>
      <c r="Y257" s="29"/>
      <c r="Z257" s="28">
        <f>SUM(T257:Y257)</f>
        <v>0</v>
      </c>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c r="BO257" s="27"/>
      <c r="BP257" s="26"/>
      <c r="BQ257" s="26"/>
      <c r="BR257" s="26"/>
      <c r="BS257" s="26"/>
    </row>
    <row r="258" spans="1:71" ht="90.6" customHeight="1" x14ac:dyDescent="0.25">
      <c r="A258" s="36" t="s">
        <v>1466</v>
      </c>
      <c r="B258" s="32" t="s">
        <v>1519</v>
      </c>
      <c r="C258" s="32" t="s">
        <v>1520</v>
      </c>
      <c r="D258" s="30" t="str">
        <f t="shared" si="77"/>
        <v>4.2.4.2</v>
      </c>
      <c r="E258" s="32" t="s">
        <v>1526</v>
      </c>
      <c r="F258" s="35" t="s">
        <v>247</v>
      </c>
      <c r="G258" s="34" t="s">
        <v>450</v>
      </c>
      <c r="H258" s="34"/>
      <c r="I258" s="33">
        <v>46174</v>
      </c>
      <c r="J258" s="33">
        <v>46295</v>
      </c>
      <c r="K258" s="32" t="s">
        <v>1527</v>
      </c>
      <c r="L258" s="32" t="s">
        <v>1522</v>
      </c>
      <c r="M258" s="38"/>
      <c r="N258" s="32" t="s">
        <v>1523</v>
      </c>
      <c r="O258" s="30" t="s">
        <v>1528</v>
      </c>
      <c r="P258" s="30" t="s">
        <v>1525</v>
      </c>
      <c r="Q258" s="31" t="s">
        <v>363</v>
      </c>
      <c r="R258" s="30" t="s">
        <v>415</v>
      </c>
      <c r="S258" s="30" t="s">
        <v>376</v>
      </c>
      <c r="T258" s="29"/>
      <c r="U258" s="29"/>
      <c r="V258" s="29">
        <v>0</v>
      </c>
      <c r="W258" s="29"/>
      <c r="X258" s="29"/>
      <c r="Y258" s="29"/>
      <c r="Z258" s="28"/>
      <c r="AA258" s="27"/>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c r="BO258" s="27"/>
      <c r="BP258" s="26"/>
      <c r="BQ258" s="26"/>
      <c r="BR258" s="26"/>
      <c r="BS258" s="26"/>
    </row>
    <row r="259" spans="1:71" ht="90.6" customHeight="1" x14ac:dyDescent="0.25">
      <c r="A259" s="36" t="s">
        <v>1466</v>
      </c>
      <c r="B259" s="32" t="s">
        <v>1519</v>
      </c>
      <c r="C259" s="32" t="s">
        <v>1520</v>
      </c>
      <c r="D259" s="30" t="str">
        <f t="shared" si="77"/>
        <v>4.2.4.3</v>
      </c>
      <c r="E259" s="32" t="s">
        <v>1529</v>
      </c>
      <c r="F259" s="35" t="s">
        <v>247</v>
      </c>
      <c r="G259" s="34" t="s">
        <v>450</v>
      </c>
      <c r="H259" s="34"/>
      <c r="I259" s="33">
        <v>46174</v>
      </c>
      <c r="J259" s="33">
        <v>46295</v>
      </c>
      <c r="K259" s="32" t="s">
        <v>955</v>
      </c>
      <c r="L259" s="32" t="s">
        <v>1522</v>
      </c>
      <c r="M259" s="38"/>
      <c r="N259" s="32" t="s">
        <v>1523</v>
      </c>
      <c r="O259" s="30" t="s">
        <v>955</v>
      </c>
      <c r="P259" s="30" t="s">
        <v>1530</v>
      </c>
      <c r="Q259" s="30" t="s">
        <v>363</v>
      </c>
      <c r="R259" s="30" t="s">
        <v>363</v>
      </c>
      <c r="S259" s="30" t="s">
        <v>376</v>
      </c>
      <c r="T259" s="29"/>
      <c r="U259" s="29"/>
      <c r="V259" s="29">
        <v>0</v>
      </c>
      <c r="W259" s="29"/>
      <c r="X259" s="29"/>
      <c r="Y259" s="29"/>
      <c r="Z259" s="28"/>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c r="BP259" s="26"/>
      <c r="BQ259" s="26"/>
      <c r="BR259" s="26"/>
      <c r="BS259" s="26"/>
    </row>
    <row r="260" spans="1:71" ht="90.6" customHeight="1" x14ac:dyDescent="0.25">
      <c r="A260" s="36" t="s">
        <v>1466</v>
      </c>
      <c r="B260" s="32" t="s">
        <v>1531</v>
      </c>
      <c r="C260" s="32" t="s">
        <v>1532</v>
      </c>
      <c r="D260" s="30" t="str">
        <f t="shared" si="77"/>
        <v>4.2.5.1</v>
      </c>
      <c r="E260" s="32" t="s">
        <v>1533</v>
      </c>
      <c r="F260" s="35" t="s">
        <v>247</v>
      </c>
      <c r="G260" s="34" t="s">
        <v>450</v>
      </c>
      <c r="H260" s="34"/>
      <c r="I260" s="33">
        <v>46143</v>
      </c>
      <c r="J260" s="33">
        <v>46203</v>
      </c>
      <c r="K260" s="32" t="s">
        <v>1534</v>
      </c>
      <c r="L260" s="32" t="s">
        <v>1535</v>
      </c>
      <c r="M260" s="38"/>
      <c r="N260" s="32" t="s">
        <v>1536</v>
      </c>
      <c r="O260" s="30" t="s">
        <v>1537</v>
      </c>
      <c r="P260" s="30" t="s">
        <v>1538</v>
      </c>
      <c r="Q260" s="30" t="s">
        <v>363</v>
      </c>
      <c r="R260" s="30" t="s">
        <v>363</v>
      </c>
      <c r="S260" s="30" t="s">
        <v>1539</v>
      </c>
      <c r="T260" s="29"/>
      <c r="U260" s="29"/>
      <c r="V260" s="29">
        <v>0</v>
      </c>
      <c r="W260" s="29"/>
      <c r="X260" s="29">
        <v>15000000</v>
      </c>
      <c r="Y260" s="29">
        <v>0</v>
      </c>
      <c r="Z260" s="28">
        <f>SUM(T260:Y260)</f>
        <v>15000000</v>
      </c>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37">
        <v>15000000</v>
      </c>
      <c r="AY260" s="26"/>
      <c r="AZ260" s="27"/>
      <c r="BA260" s="27"/>
      <c r="BB260" s="27"/>
      <c r="BC260" s="27"/>
      <c r="BD260" s="27"/>
      <c r="BE260" s="27"/>
      <c r="BF260" s="27"/>
      <c r="BG260" s="27"/>
      <c r="BH260" s="27"/>
      <c r="BI260" s="27"/>
      <c r="BJ260" s="27"/>
      <c r="BK260" s="27"/>
      <c r="BL260" s="27"/>
      <c r="BM260" s="27"/>
      <c r="BN260" s="27"/>
      <c r="BO260" s="27"/>
      <c r="BP260" s="26"/>
      <c r="BQ260" s="26"/>
      <c r="BR260" s="26"/>
      <c r="BS260" s="26"/>
    </row>
    <row r="261" spans="1:71" ht="90.6" customHeight="1" x14ac:dyDescent="0.25">
      <c r="A261" s="36" t="s">
        <v>1466</v>
      </c>
      <c r="B261" s="32" t="s">
        <v>1531</v>
      </c>
      <c r="C261" s="32" t="s">
        <v>1532</v>
      </c>
      <c r="D261" s="30" t="str">
        <f t="shared" si="77"/>
        <v>4.2.5.2</v>
      </c>
      <c r="E261" s="32" t="s">
        <v>1540</v>
      </c>
      <c r="F261" s="35" t="s">
        <v>247</v>
      </c>
      <c r="G261" s="34" t="s">
        <v>450</v>
      </c>
      <c r="H261" s="34"/>
      <c r="I261" s="33">
        <v>46143</v>
      </c>
      <c r="J261" s="33">
        <v>46203</v>
      </c>
      <c r="K261" s="32" t="s">
        <v>1541</v>
      </c>
      <c r="L261" s="32" t="s">
        <v>1535</v>
      </c>
      <c r="M261" s="38"/>
      <c r="N261" s="32" t="s">
        <v>1536</v>
      </c>
      <c r="O261" s="30" t="s">
        <v>1265</v>
      </c>
      <c r="P261" s="30" t="s">
        <v>1538</v>
      </c>
      <c r="Q261" s="31" t="s">
        <v>363</v>
      </c>
      <c r="R261" s="30" t="s">
        <v>415</v>
      </c>
      <c r="S261" s="30" t="s">
        <v>1542</v>
      </c>
      <c r="T261" s="29"/>
      <c r="U261" s="29"/>
      <c r="V261" s="29">
        <v>0</v>
      </c>
      <c r="W261" s="29"/>
      <c r="X261" s="29"/>
      <c r="Y261" s="29">
        <v>15000000</v>
      </c>
      <c r="Z261" s="28">
        <f>SUM(T261:Y261)</f>
        <v>15000000</v>
      </c>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37">
        <v>15000000</v>
      </c>
      <c r="AZ261" s="27"/>
      <c r="BA261" s="27"/>
      <c r="BB261" s="27"/>
      <c r="BC261" s="27"/>
      <c r="BD261" s="27"/>
      <c r="BE261" s="27"/>
      <c r="BF261" s="27"/>
      <c r="BG261" s="27"/>
      <c r="BH261" s="27"/>
      <c r="BI261" s="27"/>
      <c r="BJ261" s="27"/>
      <c r="BK261" s="27"/>
      <c r="BL261" s="27"/>
      <c r="BM261" s="27"/>
      <c r="BN261" s="27"/>
      <c r="BO261" s="27"/>
      <c r="BP261" s="26"/>
      <c r="BQ261" s="26"/>
      <c r="BR261" s="26"/>
      <c r="BS261" s="26"/>
    </row>
    <row r="262" spans="1:71" ht="90.6" customHeight="1" x14ac:dyDescent="0.25">
      <c r="A262" s="36" t="s">
        <v>1466</v>
      </c>
      <c r="B262" s="32" t="s">
        <v>1531</v>
      </c>
      <c r="C262" s="32" t="s">
        <v>1532</v>
      </c>
      <c r="D262" s="30" t="str">
        <f t="shared" si="77"/>
        <v>4.2.5.3</v>
      </c>
      <c r="E262" s="32" t="s">
        <v>1543</v>
      </c>
      <c r="F262" s="35" t="s">
        <v>247</v>
      </c>
      <c r="G262" s="34" t="s">
        <v>450</v>
      </c>
      <c r="H262" s="34"/>
      <c r="I262" s="33">
        <v>46235</v>
      </c>
      <c r="J262" s="33">
        <v>46264</v>
      </c>
      <c r="K262" s="32" t="s">
        <v>1544</v>
      </c>
      <c r="L262" s="32" t="s">
        <v>1535</v>
      </c>
      <c r="M262" s="38"/>
      <c r="N262" s="32" t="s">
        <v>1536</v>
      </c>
      <c r="O262" s="30" t="s">
        <v>1265</v>
      </c>
      <c r="P262" s="30" t="s">
        <v>1538</v>
      </c>
      <c r="Q262" s="31" t="s">
        <v>363</v>
      </c>
      <c r="R262" s="30" t="s">
        <v>415</v>
      </c>
      <c r="S262" s="30" t="s">
        <v>1542</v>
      </c>
      <c r="T262" s="29"/>
      <c r="U262" s="29"/>
      <c r="V262" s="29">
        <v>0</v>
      </c>
      <c r="W262" s="29"/>
      <c r="X262" s="29"/>
      <c r="Y262" s="29">
        <v>15000000</v>
      </c>
      <c r="Z262" s="28">
        <f>SUM(T262:Y262)</f>
        <v>15000000</v>
      </c>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37">
        <v>15000000</v>
      </c>
      <c r="BL262" s="27"/>
      <c r="BM262" s="27"/>
      <c r="BN262" s="27"/>
      <c r="BO262" s="27"/>
      <c r="BP262" s="26"/>
      <c r="BQ262" s="26"/>
      <c r="BR262" s="26"/>
      <c r="BS262" s="26"/>
    </row>
    <row r="263" spans="1:71" ht="90.6" customHeight="1" x14ac:dyDescent="0.25">
      <c r="A263" s="36" t="s">
        <v>1466</v>
      </c>
      <c r="B263" s="32" t="s">
        <v>1531</v>
      </c>
      <c r="C263" s="32" t="s">
        <v>1532</v>
      </c>
      <c r="D263" s="30" t="str">
        <f t="shared" si="77"/>
        <v>4.2.5.4</v>
      </c>
      <c r="E263" s="32" t="s">
        <v>1545</v>
      </c>
      <c r="F263" s="35" t="s">
        <v>247</v>
      </c>
      <c r="G263" s="34" t="s">
        <v>450</v>
      </c>
      <c r="H263" s="34"/>
      <c r="I263" s="33">
        <v>46174</v>
      </c>
      <c r="J263" s="33">
        <v>46295</v>
      </c>
      <c r="K263" s="32" t="s">
        <v>1546</v>
      </c>
      <c r="L263" s="32" t="s">
        <v>1535</v>
      </c>
      <c r="M263" s="38"/>
      <c r="N263" s="32" t="s">
        <v>1536</v>
      </c>
      <c r="O263" s="30" t="s">
        <v>1547</v>
      </c>
      <c r="P263" s="30" t="s">
        <v>1538</v>
      </c>
      <c r="Q263" s="30" t="s">
        <v>363</v>
      </c>
      <c r="R263" s="30" t="s">
        <v>363</v>
      </c>
      <c r="S263" s="30" t="s">
        <v>376</v>
      </c>
      <c r="T263" s="29"/>
      <c r="U263" s="29"/>
      <c r="V263" s="29">
        <v>0</v>
      </c>
      <c r="W263" s="29"/>
      <c r="X263" s="29"/>
      <c r="Y263" s="29"/>
      <c r="Z263" s="28"/>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c r="BP263" s="26"/>
      <c r="BQ263" s="26"/>
      <c r="BR263" s="26"/>
      <c r="BS263" s="26"/>
    </row>
    <row r="264" spans="1:71" ht="90.6" customHeight="1" x14ac:dyDescent="0.25">
      <c r="A264" s="36" t="s">
        <v>1466</v>
      </c>
      <c r="B264" s="32" t="s">
        <v>1531</v>
      </c>
      <c r="C264" s="32" t="s">
        <v>1532</v>
      </c>
      <c r="D264" s="30" t="str">
        <f t="shared" si="77"/>
        <v>4.2.5.5</v>
      </c>
      <c r="E264" s="32" t="s">
        <v>1548</v>
      </c>
      <c r="F264" s="35" t="s">
        <v>247</v>
      </c>
      <c r="G264" s="34" t="s">
        <v>450</v>
      </c>
      <c r="H264" s="34"/>
      <c r="I264" s="33">
        <v>46143</v>
      </c>
      <c r="J264" s="33">
        <v>46295</v>
      </c>
      <c r="K264" s="32" t="s">
        <v>1549</v>
      </c>
      <c r="L264" s="32" t="s">
        <v>1535</v>
      </c>
      <c r="M264" s="38"/>
      <c r="N264" s="32" t="s">
        <v>1536</v>
      </c>
      <c r="O264" s="30" t="s">
        <v>1549</v>
      </c>
      <c r="P264" s="30" t="s">
        <v>1538</v>
      </c>
      <c r="Q264" s="31" t="s">
        <v>363</v>
      </c>
      <c r="R264" s="30" t="s">
        <v>363</v>
      </c>
      <c r="S264" s="30" t="s">
        <v>376</v>
      </c>
      <c r="T264" s="29"/>
      <c r="U264" s="29"/>
      <c r="V264" s="29">
        <v>0</v>
      </c>
      <c r="W264" s="29"/>
      <c r="X264" s="29"/>
      <c r="Y264" s="29"/>
      <c r="Z264" s="28"/>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c r="BO264" s="27"/>
      <c r="BP264" s="26"/>
      <c r="BQ264" s="26"/>
      <c r="BR264" s="26"/>
      <c r="BS264" s="26"/>
    </row>
    <row r="265" spans="1:71" ht="90.6" customHeight="1" x14ac:dyDescent="0.25">
      <c r="A265" s="36" t="s">
        <v>1466</v>
      </c>
      <c r="B265" s="32" t="s">
        <v>1550</v>
      </c>
      <c r="C265" s="32" t="s">
        <v>1551</v>
      </c>
      <c r="D265" s="30" t="str">
        <f t="shared" si="77"/>
        <v>4.2.6.1</v>
      </c>
      <c r="E265" s="32" t="s">
        <v>1552</v>
      </c>
      <c r="F265" s="35" t="s">
        <v>247</v>
      </c>
      <c r="G265" s="34" t="s">
        <v>450</v>
      </c>
      <c r="H265" s="34"/>
      <c r="I265" s="33">
        <v>46174</v>
      </c>
      <c r="J265" s="33">
        <v>46295</v>
      </c>
      <c r="K265" s="32" t="s">
        <v>1553</v>
      </c>
      <c r="L265" s="32" t="s">
        <v>1535</v>
      </c>
      <c r="M265" s="32"/>
      <c r="N265" s="32" t="s">
        <v>1554</v>
      </c>
      <c r="O265" s="30" t="s">
        <v>1555</v>
      </c>
      <c r="P265" s="30" t="s">
        <v>1556</v>
      </c>
      <c r="Q265" s="31" t="s">
        <v>363</v>
      </c>
      <c r="R265" s="30" t="s">
        <v>363</v>
      </c>
      <c r="S265" s="30" t="s">
        <v>376</v>
      </c>
      <c r="T265" s="29"/>
      <c r="U265" s="29"/>
      <c r="V265" s="29">
        <v>0</v>
      </c>
      <c r="W265" s="29"/>
      <c r="X265" s="29"/>
      <c r="Y265" s="29"/>
      <c r="Z265" s="28"/>
      <c r="AA265" s="27"/>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7"/>
      <c r="BO265" s="27"/>
      <c r="BP265" s="26"/>
      <c r="BQ265" s="26"/>
      <c r="BR265" s="26"/>
      <c r="BS265" s="26"/>
    </row>
    <row r="266" spans="1:71" ht="90.6" customHeight="1" x14ac:dyDescent="0.25">
      <c r="A266" s="36" t="s">
        <v>1466</v>
      </c>
      <c r="B266" s="32" t="s">
        <v>1550</v>
      </c>
      <c r="C266" s="32" t="s">
        <v>1557</v>
      </c>
      <c r="D266" s="30" t="str">
        <f t="shared" si="77"/>
        <v>4.2.6.2</v>
      </c>
      <c r="E266" s="32" t="s">
        <v>1558</v>
      </c>
      <c r="F266" s="35" t="s">
        <v>247</v>
      </c>
      <c r="G266" s="34" t="s">
        <v>450</v>
      </c>
      <c r="H266" s="34"/>
      <c r="I266" s="33">
        <v>46174</v>
      </c>
      <c r="J266" s="33">
        <v>46295</v>
      </c>
      <c r="K266" s="32" t="s">
        <v>1559</v>
      </c>
      <c r="L266" s="32" t="s">
        <v>1535</v>
      </c>
      <c r="M266" s="32"/>
      <c r="N266" s="32" t="s">
        <v>1554</v>
      </c>
      <c r="O266" s="30" t="s">
        <v>1559</v>
      </c>
      <c r="P266" s="30" t="s">
        <v>1556</v>
      </c>
      <c r="Q266" s="31" t="s">
        <v>363</v>
      </c>
      <c r="R266" s="30" t="s">
        <v>363</v>
      </c>
      <c r="S266" s="30" t="s">
        <v>376</v>
      </c>
      <c r="T266" s="29"/>
      <c r="U266" s="29"/>
      <c r="V266" s="29">
        <v>0</v>
      </c>
      <c r="W266" s="29"/>
      <c r="X266" s="29"/>
      <c r="Y266" s="29"/>
      <c r="Z266" s="28"/>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6"/>
      <c r="BQ266" s="26"/>
      <c r="BR266" s="26"/>
      <c r="BS266" s="26"/>
    </row>
    <row r="267" spans="1:71" ht="90.6" customHeight="1" x14ac:dyDescent="0.25">
      <c r="A267" s="36" t="s">
        <v>1466</v>
      </c>
      <c r="B267" s="32" t="s">
        <v>1550</v>
      </c>
      <c r="C267" s="32" t="s">
        <v>1560</v>
      </c>
      <c r="D267" s="30" t="str">
        <f t="shared" si="77"/>
        <v>4.2.6.3</v>
      </c>
      <c r="E267" s="32" t="s">
        <v>1561</v>
      </c>
      <c r="F267" s="35" t="s">
        <v>247</v>
      </c>
      <c r="G267" s="34" t="s">
        <v>450</v>
      </c>
      <c r="H267" s="34"/>
      <c r="I267" s="33">
        <v>46174</v>
      </c>
      <c r="J267" s="33">
        <v>46295</v>
      </c>
      <c r="K267" s="32" t="s">
        <v>1562</v>
      </c>
      <c r="L267" s="32" t="s">
        <v>1535</v>
      </c>
      <c r="M267" s="32" t="s">
        <v>1563</v>
      </c>
      <c r="N267" s="32" t="s">
        <v>1554</v>
      </c>
      <c r="O267" s="30" t="s">
        <v>1564</v>
      </c>
      <c r="P267" s="30" t="s">
        <v>1556</v>
      </c>
      <c r="Q267" s="31" t="s">
        <v>363</v>
      </c>
      <c r="R267" s="31" t="s">
        <v>363</v>
      </c>
      <c r="S267" s="30" t="s">
        <v>1565</v>
      </c>
      <c r="T267" s="29"/>
      <c r="U267" s="29"/>
      <c r="V267" s="29">
        <v>0</v>
      </c>
      <c r="W267" s="29"/>
      <c r="X267" s="29"/>
      <c r="Y267" s="29">
        <v>20000000</v>
      </c>
      <c r="Z267" s="28">
        <f>SUM(T267:Y267)</f>
        <v>20000000</v>
      </c>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37">
        <v>20000000</v>
      </c>
      <c r="BH267" s="27"/>
      <c r="BI267" s="27"/>
      <c r="BJ267" s="27"/>
      <c r="BK267" s="27"/>
      <c r="BL267" s="27"/>
      <c r="BM267" s="27"/>
      <c r="BN267" s="27"/>
      <c r="BO267" s="27"/>
      <c r="BP267" s="26"/>
      <c r="BQ267" s="26"/>
      <c r="BR267" s="26"/>
      <c r="BS267" s="26"/>
    </row>
    <row r="268" spans="1:71" ht="90.6" customHeight="1" x14ac:dyDescent="0.25">
      <c r="A268" s="36" t="s">
        <v>1466</v>
      </c>
      <c r="B268" s="32" t="s">
        <v>1550</v>
      </c>
      <c r="C268" s="32" t="s">
        <v>1566</v>
      </c>
      <c r="D268" s="30" t="str">
        <f t="shared" si="77"/>
        <v>4.2.6.4</v>
      </c>
      <c r="E268" s="32" t="s">
        <v>1567</v>
      </c>
      <c r="F268" s="35" t="s">
        <v>247</v>
      </c>
      <c r="G268" s="34" t="s">
        <v>450</v>
      </c>
      <c r="H268" s="34"/>
      <c r="I268" s="33">
        <v>46174</v>
      </c>
      <c r="J268" s="33">
        <v>46295</v>
      </c>
      <c r="K268" s="32" t="s">
        <v>1568</v>
      </c>
      <c r="L268" s="32" t="s">
        <v>1535</v>
      </c>
      <c r="M268" s="32"/>
      <c r="N268" s="32" t="s">
        <v>1554</v>
      </c>
      <c r="O268" s="30" t="s">
        <v>1569</v>
      </c>
      <c r="P268" s="30" t="s">
        <v>1556</v>
      </c>
      <c r="Q268" s="31" t="s">
        <v>363</v>
      </c>
      <c r="R268" s="30" t="s">
        <v>415</v>
      </c>
      <c r="S268" s="30" t="s">
        <v>376</v>
      </c>
      <c r="T268" s="29"/>
      <c r="U268" s="29"/>
      <c r="V268" s="29">
        <v>0</v>
      </c>
      <c r="W268" s="29"/>
      <c r="X268" s="29"/>
      <c r="Y268" s="29"/>
      <c r="Z268" s="28"/>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c r="BO268" s="27"/>
      <c r="BP268" s="26"/>
      <c r="BQ268" s="26"/>
      <c r="BR268" s="26"/>
      <c r="BS268" s="26"/>
    </row>
    <row r="270" spans="1:71" x14ac:dyDescent="0.25">
      <c r="T270" s="18">
        <f>+T219+T211+T142+T2</f>
        <v>780000000</v>
      </c>
      <c r="U270" s="18">
        <f>+U219+U211+U142+U2</f>
        <v>785833200</v>
      </c>
      <c r="V270" s="18">
        <f>T270+U270</f>
        <v>1565833200</v>
      </c>
      <c r="W270" s="18">
        <f>+W219+W211+W142+W2</f>
        <v>599999999.51999998</v>
      </c>
      <c r="X270" s="18">
        <f>+X219+X211+X142+X2</f>
        <v>1020000000.24</v>
      </c>
      <c r="Y270" s="18">
        <f>+Y219+Y211+Y142+Y2</f>
        <v>717129793.96000004</v>
      </c>
    </row>
    <row r="272" spans="1:71" x14ac:dyDescent="0.25">
      <c r="AV272" s="24"/>
    </row>
    <row r="273" spans="46:48" x14ac:dyDescent="0.25">
      <c r="AT273" s="25"/>
      <c r="AV273" s="24"/>
    </row>
    <row r="274" spans="46:48" x14ac:dyDescent="0.25">
      <c r="AU274" s="24"/>
    </row>
  </sheetData>
  <sheetProtection formatCells="0" formatColumns="0" autoFilter="0"/>
  <protectedRanges>
    <protectedRange algorithmName="SHA-512" hashValue="bQfXQOfFHdT9eBAyDreCIlMIK7ox8AVlJ+oyAM40mZvA006TvTJhNnBpHIJXUxizdql0ZjqcU2/bpLHO+lYsiQ==" saltValue="dv1l6fF/cTibX21tSEqOzQ==" spinCount="100000" sqref="T246:T247" name="Plage1_1"/>
    <protectedRange algorithmName="SHA-512" hashValue="bQfXQOfFHdT9eBAyDreCIlMIK7ox8AVlJ+oyAM40mZvA006TvTJhNnBpHIJXUxizdql0ZjqcU2/bpLHO+lYsiQ==" saltValue="dv1l6fF/cTibX21tSEqOzQ==" spinCount="100000" sqref="T244:V244" name="Plage1_2"/>
  </protectedRanges>
  <autoFilter ref="A2:GZ268" xr:uid="{F7208380-53C3-4F70-808F-82506023D1C3}"/>
  <conditionalFormatting sqref="D1:D1048576">
    <cfRule type="duplicateValues" dxfId="0" priority="1"/>
  </conditionalFormatting>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CC3E2-DE07-4FF2-BE4B-F2DC7D73748E}">
  <dimension ref="A1:BX264"/>
  <sheetViews>
    <sheetView workbookViewId="0"/>
  </sheetViews>
  <sheetFormatPr baseColWidth="10" defaultColWidth="9.140625" defaultRowHeight="15" x14ac:dyDescent="0.25"/>
  <sheetData>
    <row r="1" spans="1:76" x14ac:dyDescent="0.25">
      <c r="A1" t="s">
        <v>1570</v>
      </c>
      <c r="B1" t="s">
        <v>1571</v>
      </c>
      <c r="C1" t="s">
        <v>31</v>
      </c>
      <c r="D1" t="s">
        <v>1572</v>
      </c>
      <c r="E1" t="s">
        <v>1573</v>
      </c>
      <c r="F1" t="s">
        <v>1574</v>
      </c>
      <c r="G1" t="s">
        <v>1575</v>
      </c>
      <c r="H1" t="s">
        <v>1576</v>
      </c>
      <c r="I1" t="s">
        <v>1577</v>
      </c>
      <c r="J1" t="s">
        <v>198</v>
      </c>
      <c r="K1" t="s">
        <v>1578</v>
      </c>
      <c r="L1" t="s">
        <v>1579</v>
      </c>
      <c r="M1" t="s">
        <v>1580</v>
      </c>
      <c r="N1" t="s">
        <v>1581</v>
      </c>
      <c r="O1" t="s">
        <v>53</v>
      </c>
      <c r="P1" t="s">
        <v>1582</v>
      </c>
      <c r="Q1" t="s">
        <v>252</v>
      </c>
      <c r="R1" t="s">
        <v>50</v>
      </c>
      <c r="S1" t="s">
        <v>36</v>
      </c>
      <c r="T1" t="s">
        <v>129</v>
      </c>
      <c r="U1" t="s">
        <v>1583</v>
      </c>
      <c r="V1" t="s">
        <v>1584</v>
      </c>
      <c r="W1" t="s">
        <v>1585</v>
      </c>
      <c r="X1" t="s">
        <v>237</v>
      </c>
      <c r="Y1" t="s">
        <v>1586</v>
      </c>
      <c r="Z1" t="s">
        <v>1587</v>
      </c>
      <c r="AA1" t="s">
        <v>232</v>
      </c>
      <c r="AB1" t="s">
        <v>1588</v>
      </c>
      <c r="AC1" t="s">
        <v>1589</v>
      </c>
      <c r="AD1" t="s">
        <v>1590</v>
      </c>
      <c r="AE1" t="s">
        <v>1591</v>
      </c>
      <c r="AF1" t="s">
        <v>1592</v>
      </c>
      <c r="AG1" t="s">
        <v>1593</v>
      </c>
      <c r="AH1" t="s">
        <v>1594</v>
      </c>
      <c r="AI1" t="s">
        <v>63</v>
      </c>
      <c r="AJ1" t="s">
        <v>153</v>
      </c>
      <c r="AK1" t="s">
        <v>1595</v>
      </c>
      <c r="AL1" t="s">
        <v>169</v>
      </c>
      <c r="AM1" t="s">
        <v>1596</v>
      </c>
      <c r="AN1" t="s">
        <v>1597</v>
      </c>
      <c r="AO1" t="s">
        <v>272</v>
      </c>
      <c r="AP1" t="s">
        <v>1598</v>
      </c>
      <c r="AQ1" t="s">
        <v>144</v>
      </c>
      <c r="AR1" t="s">
        <v>149</v>
      </c>
      <c r="AS1" t="s">
        <v>1599</v>
      </c>
      <c r="AT1" t="s">
        <v>1600</v>
      </c>
      <c r="AU1" t="s">
        <v>1601</v>
      </c>
      <c r="AV1" t="s">
        <v>1602</v>
      </c>
      <c r="AW1" t="s">
        <v>183</v>
      </c>
      <c r="AX1" t="s">
        <v>192</v>
      </c>
      <c r="AY1" t="s">
        <v>135</v>
      </c>
      <c r="AZ1" t="s">
        <v>1603</v>
      </c>
      <c r="BA1" t="s">
        <v>1604</v>
      </c>
      <c r="BB1" t="s">
        <v>1605</v>
      </c>
      <c r="BC1" t="s">
        <v>1606</v>
      </c>
      <c r="BD1" t="s">
        <v>1607</v>
      </c>
      <c r="BE1" t="s">
        <v>216</v>
      </c>
      <c r="BF1" t="s">
        <v>1608</v>
      </c>
      <c r="BG1" t="s">
        <v>1609</v>
      </c>
      <c r="BH1" t="s">
        <v>179</v>
      </c>
      <c r="BI1" t="s">
        <v>1610</v>
      </c>
      <c r="BJ1" t="s">
        <v>1611</v>
      </c>
      <c r="BK1" t="s">
        <v>1612</v>
      </c>
      <c r="BL1" t="s">
        <v>1613</v>
      </c>
      <c r="BM1" t="s">
        <v>1614</v>
      </c>
      <c r="BN1" t="s">
        <v>174</v>
      </c>
      <c r="BO1" t="s">
        <v>1615</v>
      </c>
      <c r="BP1" t="s">
        <v>1616</v>
      </c>
      <c r="BQ1" t="s">
        <v>1617</v>
      </c>
      <c r="BR1" t="s">
        <v>1618</v>
      </c>
      <c r="BS1" t="s">
        <v>1619</v>
      </c>
      <c r="BT1" t="s">
        <v>1620</v>
      </c>
      <c r="BU1" t="s">
        <v>1621</v>
      </c>
      <c r="BV1" t="s">
        <v>1622</v>
      </c>
      <c r="BW1" t="s">
        <v>1623</v>
      </c>
      <c r="BX1" t="s">
        <v>1624</v>
      </c>
    </row>
    <row r="2" spans="1:76" x14ac:dyDescent="0.25">
      <c r="A2" t="s">
        <v>1573</v>
      </c>
      <c r="B2" t="s">
        <v>1625</v>
      </c>
      <c r="C2" t="s">
        <v>354</v>
      </c>
      <c r="D2" t="s">
        <v>1573</v>
      </c>
      <c r="E2" t="s">
        <v>354</v>
      </c>
      <c r="F2" t="s">
        <v>378</v>
      </c>
      <c r="G2" t="s">
        <v>390</v>
      </c>
      <c r="H2" t="s">
        <v>399</v>
      </c>
      <c r="I2" t="s">
        <v>408</v>
      </c>
      <c r="J2" t="s">
        <v>199</v>
      </c>
      <c r="K2" t="s">
        <v>432</v>
      </c>
      <c r="L2" t="s">
        <v>441</v>
      </c>
      <c r="M2" t="s">
        <v>1626</v>
      </c>
      <c r="N2" t="s">
        <v>460</v>
      </c>
      <c r="O2" t="s">
        <v>54</v>
      </c>
      <c r="P2" t="s">
        <v>1627</v>
      </c>
      <c r="Q2" t="s">
        <v>253</v>
      </c>
      <c r="R2" t="s">
        <v>51</v>
      </c>
      <c r="S2" t="s">
        <v>41</v>
      </c>
      <c r="T2" t="s">
        <v>1628</v>
      </c>
      <c r="U2" t="s">
        <v>1629</v>
      </c>
      <c r="V2" t="s">
        <v>1630</v>
      </c>
      <c r="W2" t="s">
        <v>1631</v>
      </c>
      <c r="X2" t="s">
        <v>623</v>
      </c>
      <c r="Y2" t="s">
        <v>1632</v>
      </c>
      <c r="Z2" t="s">
        <v>1633</v>
      </c>
      <c r="AA2" t="s">
        <v>697</v>
      </c>
      <c r="AB2" t="s">
        <v>724</v>
      </c>
      <c r="AC2" t="s">
        <v>1634</v>
      </c>
      <c r="AD2" t="s">
        <v>1635</v>
      </c>
      <c r="AE2" t="s">
        <v>1636</v>
      </c>
      <c r="AF2" t="s">
        <v>1637</v>
      </c>
      <c r="AG2" t="s">
        <v>1638</v>
      </c>
      <c r="AH2" t="s">
        <v>1639</v>
      </c>
      <c r="AI2" t="s">
        <v>64</v>
      </c>
      <c r="AJ2" t="s">
        <v>154</v>
      </c>
      <c r="AK2" t="s">
        <v>831</v>
      </c>
      <c r="AL2" t="s">
        <v>170</v>
      </c>
      <c r="AM2" t="s">
        <v>1640</v>
      </c>
      <c r="AN2" t="s">
        <v>1641</v>
      </c>
      <c r="AO2" t="s">
        <v>296</v>
      </c>
      <c r="AP2" t="s">
        <v>920</v>
      </c>
      <c r="AQ2" t="s">
        <v>158</v>
      </c>
      <c r="AR2" t="s">
        <v>150</v>
      </c>
      <c r="AS2" t="s">
        <v>983</v>
      </c>
      <c r="AT2" t="s">
        <v>1642</v>
      </c>
      <c r="AU2" t="s">
        <v>1643</v>
      </c>
      <c r="AV2" t="s">
        <v>1644</v>
      </c>
      <c r="AW2" t="s">
        <v>1645</v>
      </c>
      <c r="AX2" t="s">
        <v>1646</v>
      </c>
      <c r="AY2" t="s">
        <v>136</v>
      </c>
      <c r="AZ2" t="s">
        <v>1139</v>
      </c>
      <c r="BA2" t="s">
        <v>1147</v>
      </c>
      <c r="BB2" t="s">
        <v>1647</v>
      </c>
      <c r="BC2" t="s">
        <v>1648</v>
      </c>
      <c r="BD2" t="s">
        <v>1649</v>
      </c>
      <c r="BE2" t="s">
        <v>1650</v>
      </c>
      <c r="BF2" t="s">
        <v>1651</v>
      </c>
      <c r="BG2" t="s">
        <v>1652</v>
      </c>
      <c r="BH2" t="s">
        <v>1653</v>
      </c>
      <c r="BI2" t="s">
        <v>1654</v>
      </c>
      <c r="BJ2" t="s">
        <v>1655</v>
      </c>
      <c r="BK2" t="s">
        <v>1656</v>
      </c>
      <c r="BL2" t="s">
        <v>1657</v>
      </c>
      <c r="BM2" t="s">
        <v>1322</v>
      </c>
      <c r="BN2" t="s">
        <v>1658</v>
      </c>
      <c r="BO2" t="s">
        <v>1659</v>
      </c>
      <c r="BP2" t="s">
        <v>1660</v>
      </c>
      <c r="BQ2" t="s">
        <v>1661</v>
      </c>
      <c r="BR2" t="s">
        <v>1436</v>
      </c>
      <c r="BS2" t="s">
        <v>1458</v>
      </c>
      <c r="BT2" t="s">
        <v>1662</v>
      </c>
      <c r="BU2" t="s">
        <v>1501</v>
      </c>
      <c r="BV2" t="s">
        <v>265</v>
      </c>
      <c r="BW2" t="s">
        <v>257</v>
      </c>
      <c r="BX2" t="s">
        <v>1663</v>
      </c>
    </row>
    <row r="3" spans="1:76" x14ac:dyDescent="0.25">
      <c r="A3" t="s">
        <v>1574</v>
      </c>
      <c r="B3" t="s">
        <v>1664</v>
      </c>
      <c r="C3" t="s">
        <v>365</v>
      </c>
      <c r="D3" t="s">
        <v>1573</v>
      </c>
      <c r="E3" t="s">
        <v>365</v>
      </c>
      <c r="F3" t="s">
        <v>386</v>
      </c>
      <c r="I3" t="s">
        <v>416</v>
      </c>
      <c r="J3" t="s">
        <v>204</v>
      </c>
      <c r="N3" t="s">
        <v>1665</v>
      </c>
      <c r="O3" t="s">
        <v>1666</v>
      </c>
      <c r="R3" t="s">
        <v>99</v>
      </c>
      <c r="S3" t="s">
        <v>46</v>
      </c>
      <c r="T3" t="s">
        <v>1667</v>
      </c>
      <c r="V3" t="s">
        <v>1668</v>
      </c>
      <c r="W3" t="s">
        <v>1669</v>
      </c>
      <c r="X3" t="s">
        <v>630</v>
      </c>
      <c r="Y3" t="s">
        <v>1670</v>
      </c>
      <c r="AA3" t="s">
        <v>706</v>
      </c>
      <c r="AD3" t="s">
        <v>1671</v>
      </c>
      <c r="AE3" t="s">
        <v>762</v>
      </c>
      <c r="AF3" t="s">
        <v>1672</v>
      </c>
      <c r="AG3" t="s">
        <v>1673</v>
      </c>
      <c r="AO3" t="s">
        <v>285</v>
      </c>
      <c r="AP3" t="s">
        <v>927</v>
      </c>
      <c r="AQ3" t="s">
        <v>145</v>
      </c>
      <c r="AR3" t="s">
        <v>958</v>
      </c>
      <c r="AS3" t="s">
        <v>1674</v>
      </c>
      <c r="AT3" t="s">
        <v>1022</v>
      </c>
      <c r="AU3" t="s">
        <v>1073</v>
      </c>
      <c r="AV3" t="s">
        <v>1675</v>
      </c>
      <c r="AW3" t="s">
        <v>214</v>
      </c>
      <c r="AX3" t="s">
        <v>193</v>
      </c>
      <c r="AY3" t="s">
        <v>197</v>
      </c>
      <c r="BA3" t="s">
        <v>1676</v>
      </c>
      <c r="BB3" t="s">
        <v>1677</v>
      </c>
      <c r="BC3" t="s">
        <v>1678</v>
      </c>
      <c r="BD3" t="s">
        <v>1679</v>
      </c>
      <c r="BE3" t="s">
        <v>1224</v>
      </c>
      <c r="BF3" t="s">
        <v>1680</v>
      </c>
      <c r="BH3" t="s">
        <v>207</v>
      </c>
      <c r="BM3" t="s">
        <v>1681</v>
      </c>
      <c r="BN3" t="s">
        <v>175</v>
      </c>
      <c r="BP3" t="s">
        <v>1682</v>
      </c>
      <c r="BQ3" t="s">
        <v>1683</v>
      </c>
      <c r="BR3" t="s">
        <v>1442</v>
      </c>
      <c r="BS3" t="s">
        <v>1467</v>
      </c>
      <c r="BT3" t="s">
        <v>1684</v>
      </c>
      <c r="BU3" t="s">
        <v>1685</v>
      </c>
      <c r="BV3" t="s">
        <v>1686</v>
      </c>
      <c r="BW3" t="s">
        <v>1687</v>
      </c>
      <c r="BX3" t="s">
        <v>1688</v>
      </c>
    </row>
    <row r="4" spans="1:76" x14ac:dyDescent="0.25">
      <c r="A4" t="s">
        <v>1575</v>
      </c>
      <c r="B4" t="s">
        <v>1689</v>
      </c>
      <c r="C4" t="s">
        <v>369</v>
      </c>
      <c r="D4" t="s">
        <v>1573</v>
      </c>
      <c r="E4" t="s">
        <v>369</v>
      </c>
      <c r="N4" t="s">
        <v>1690</v>
      </c>
      <c r="O4" t="s">
        <v>1691</v>
      </c>
      <c r="R4" t="s">
        <v>1692</v>
      </c>
      <c r="S4" t="s">
        <v>37</v>
      </c>
      <c r="T4" t="s">
        <v>104</v>
      </c>
      <c r="W4" t="s">
        <v>1693</v>
      </c>
      <c r="X4" t="s">
        <v>633</v>
      </c>
      <c r="AA4" t="s">
        <v>1694</v>
      </c>
      <c r="AD4" t="s">
        <v>1695</v>
      </c>
      <c r="AF4" t="s">
        <v>1696</v>
      </c>
      <c r="AG4" t="s">
        <v>800</v>
      </c>
      <c r="AO4" t="s">
        <v>293</v>
      </c>
      <c r="AP4" t="s">
        <v>932</v>
      </c>
      <c r="AQ4" t="s">
        <v>1697</v>
      </c>
      <c r="AR4" t="s">
        <v>960</v>
      </c>
      <c r="AS4" t="s">
        <v>996</v>
      </c>
      <c r="AT4" t="s">
        <v>1698</v>
      </c>
      <c r="AU4" t="s">
        <v>1699</v>
      </c>
      <c r="AV4" t="s">
        <v>1700</v>
      </c>
      <c r="AW4" t="s">
        <v>1701</v>
      </c>
      <c r="AX4" t="s">
        <v>1702</v>
      </c>
      <c r="BA4" t="s">
        <v>1703</v>
      </c>
      <c r="BB4" t="s">
        <v>1176</v>
      </c>
      <c r="BC4" t="s">
        <v>1189</v>
      </c>
      <c r="BD4" t="s">
        <v>1704</v>
      </c>
      <c r="BE4" t="s">
        <v>1705</v>
      </c>
      <c r="BF4" t="s">
        <v>1706</v>
      </c>
      <c r="BH4" t="s">
        <v>1707</v>
      </c>
      <c r="BM4" t="s">
        <v>1708</v>
      </c>
      <c r="BP4" t="s">
        <v>1709</v>
      </c>
      <c r="BQ4" t="s">
        <v>1710</v>
      </c>
      <c r="BR4" t="s">
        <v>1444</v>
      </c>
      <c r="BS4" t="s">
        <v>1711</v>
      </c>
      <c r="BT4" t="s">
        <v>1489</v>
      </c>
      <c r="BU4" t="s">
        <v>250</v>
      </c>
      <c r="BV4" t="s">
        <v>1712</v>
      </c>
      <c r="BW4" t="s">
        <v>1543</v>
      </c>
      <c r="BX4" t="s">
        <v>1561</v>
      </c>
    </row>
    <row r="5" spans="1:76" x14ac:dyDescent="0.25">
      <c r="A5" t="s">
        <v>1576</v>
      </c>
      <c r="B5" t="s">
        <v>1713</v>
      </c>
      <c r="C5" t="s">
        <v>373</v>
      </c>
      <c r="D5" t="s">
        <v>1573</v>
      </c>
      <c r="E5" t="s">
        <v>373</v>
      </c>
      <c r="N5" t="s">
        <v>1714</v>
      </c>
      <c r="R5" t="s">
        <v>521</v>
      </c>
      <c r="S5" t="s">
        <v>546</v>
      </c>
      <c r="T5" t="s">
        <v>130</v>
      </c>
      <c r="X5" t="s">
        <v>238</v>
      </c>
      <c r="AA5" t="s">
        <v>714</v>
      </c>
      <c r="AF5" t="s">
        <v>1715</v>
      </c>
      <c r="AG5" t="s">
        <v>803</v>
      </c>
      <c r="AO5" t="s">
        <v>881</v>
      </c>
      <c r="AQ5" t="s">
        <v>946</v>
      </c>
      <c r="AR5" t="s">
        <v>1716</v>
      </c>
      <c r="AS5" t="s">
        <v>1717</v>
      </c>
      <c r="AT5" t="s">
        <v>1027</v>
      </c>
      <c r="AU5" t="s">
        <v>1718</v>
      </c>
      <c r="AV5" t="s">
        <v>1719</v>
      </c>
      <c r="AW5" t="s">
        <v>1720</v>
      </c>
      <c r="AX5" t="s">
        <v>1721</v>
      </c>
      <c r="BA5" t="s">
        <v>1722</v>
      </c>
      <c r="BB5" t="s">
        <v>1178</v>
      </c>
      <c r="BC5" t="s">
        <v>1723</v>
      </c>
      <c r="BE5" t="s">
        <v>1724</v>
      </c>
      <c r="BH5" t="s">
        <v>1725</v>
      </c>
      <c r="BM5" t="s">
        <v>1332</v>
      </c>
      <c r="BP5" t="s">
        <v>1726</v>
      </c>
      <c r="BQ5" t="s">
        <v>1417</v>
      </c>
      <c r="BR5" t="s">
        <v>1447</v>
      </c>
      <c r="BS5" t="s">
        <v>1727</v>
      </c>
      <c r="BT5" t="s">
        <v>1728</v>
      </c>
      <c r="BU5" t="s">
        <v>1729</v>
      </c>
      <c r="BW5" t="s">
        <v>261</v>
      </c>
      <c r="BX5" t="s">
        <v>1730</v>
      </c>
    </row>
    <row r="6" spans="1:76" x14ac:dyDescent="0.25">
      <c r="A6" t="s">
        <v>1577</v>
      </c>
      <c r="B6" t="s">
        <v>1731</v>
      </c>
      <c r="C6" t="s">
        <v>378</v>
      </c>
      <c r="D6" t="s">
        <v>1574</v>
      </c>
      <c r="S6" t="s">
        <v>1732</v>
      </c>
      <c r="X6" t="s">
        <v>1733</v>
      </c>
      <c r="AA6" t="s">
        <v>233</v>
      </c>
      <c r="AF6" t="s">
        <v>1734</v>
      </c>
      <c r="AO6" t="s">
        <v>282</v>
      </c>
      <c r="AR6" t="s">
        <v>964</v>
      </c>
      <c r="AS6" t="s">
        <v>1735</v>
      </c>
      <c r="AT6" t="s">
        <v>1030</v>
      </c>
      <c r="AV6" t="s">
        <v>1736</v>
      </c>
      <c r="AX6" t="s">
        <v>1737</v>
      </c>
      <c r="BA6" t="s">
        <v>1738</v>
      </c>
      <c r="BB6" t="s">
        <v>1739</v>
      </c>
      <c r="BC6" t="s">
        <v>1740</v>
      </c>
      <c r="BE6" t="s">
        <v>1741</v>
      </c>
      <c r="BH6" t="s">
        <v>1742</v>
      </c>
      <c r="BP6" t="s">
        <v>1375</v>
      </c>
      <c r="BQ6" t="s">
        <v>1743</v>
      </c>
      <c r="BR6" t="s">
        <v>1451</v>
      </c>
      <c r="BT6" t="s">
        <v>1744</v>
      </c>
      <c r="BW6" t="s">
        <v>1745</v>
      </c>
    </row>
    <row r="7" spans="1:76" x14ac:dyDescent="0.25">
      <c r="A7" t="s">
        <v>198</v>
      </c>
      <c r="B7" t="s">
        <v>1746</v>
      </c>
      <c r="C7" t="s">
        <v>386</v>
      </c>
      <c r="D7" t="s">
        <v>1574</v>
      </c>
      <c r="S7" t="s">
        <v>114</v>
      </c>
      <c r="X7" t="s">
        <v>1747</v>
      </c>
      <c r="AF7" t="s">
        <v>1748</v>
      </c>
      <c r="AO7" t="s">
        <v>889</v>
      </c>
      <c r="AR7" t="s">
        <v>1749</v>
      </c>
      <c r="AS7" t="s">
        <v>1006</v>
      </c>
      <c r="AT7" t="s">
        <v>1750</v>
      </c>
      <c r="AV7" t="s">
        <v>1751</v>
      </c>
      <c r="BA7" t="s">
        <v>1752</v>
      </c>
      <c r="BC7" t="s">
        <v>1196</v>
      </c>
      <c r="BH7" t="s">
        <v>1753</v>
      </c>
      <c r="BP7" t="s">
        <v>1754</v>
      </c>
      <c r="BQ7" t="s">
        <v>1428</v>
      </c>
    </row>
    <row r="8" spans="1:76" x14ac:dyDescent="0.25">
      <c r="A8" t="s">
        <v>1578</v>
      </c>
      <c r="B8" t="s">
        <v>1755</v>
      </c>
      <c r="C8" t="s">
        <v>390</v>
      </c>
      <c r="D8" t="s">
        <v>1575</v>
      </c>
      <c r="S8" t="s">
        <v>1756</v>
      </c>
      <c r="X8" t="s">
        <v>1757</v>
      </c>
      <c r="AF8" t="s">
        <v>1758</v>
      </c>
      <c r="AO8" t="s">
        <v>1759</v>
      </c>
      <c r="AR8" t="s">
        <v>1760</v>
      </c>
      <c r="AS8" t="s">
        <v>1761</v>
      </c>
      <c r="AT8" t="s">
        <v>1037</v>
      </c>
      <c r="AV8" t="s">
        <v>1762</v>
      </c>
      <c r="BA8" t="s">
        <v>1763</v>
      </c>
      <c r="BH8" t="s">
        <v>1764</v>
      </c>
      <c r="BP8" t="s">
        <v>1765</v>
      </c>
      <c r="BQ8" t="s">
        <v>1431</v>
      </c>
    </row>
    <row r="9" spans="1:76" x14ac:dyDescent="0.25">
      <c r="A9" t="s">
        <v>1579</v>
      </c>
      <c r="B9" t="s">
        <v>1766</v>
      </c>
      <c r="C9" t="s">
        <v>399</v>
      </c>
      <c r="D9" t="s">
        <v>1576</v>
      </c>
      <c r="S9" t="s">
        <v>1767</v>
      </c>
      <c r="X9" t="s">
        <v>1768</v>
      </c>
      <c r="AF9" t="s">
        <v>1769</v>
      </c>
      <c r="AO9" t="s">
        <v>899</v>
      </c>
      <c r="AR9" t="s">
        <v>977</v>
      </c>
      <c r="AT9" t="s">
        <v>1041</v>
      </c>
      <c r="AV9" t="s">
        <v>1770</v>
      </c>
      <c r="BA9" t="s">
        <v>1771</v>
      </c>
      <c r="BH9" t="s">
        <v>1772</v>
      </c>
      <c r="BP9" t="s">
        <v>1773</v>
      </c>
    </row>
    <row r="10" spans="1:76" x14ac:dyDescent="0.25">
      <c r="A10" t="s">
        <v>1580</v>
      </c>
      <c r="B10" t="s">
        <v>1774</v>
      </c>
      <c r="C10" t="s">
        <v>408</v>
      </c>
      <c r="D10" t="s">
        <v>1577</v>
      </c>
      <c r="X10" t="s">
        <v>1775</v>
      </c>
      <c r="AO10" t="s">
        <v>279</v>
      </c>
      <c r="AT10" t="s">
        <v>1776</v>
      </c>
      <c r="BH10" t="s">
        <v>180</v>
      </c>
      <c r="BP10" t="s">
        <v>1388</v>
      </c>
    </row>
    <row r="11" spans="1:76" x14ac:dyDescent="0.25">
      <c r="A11" t="s">
        <v>1581</v>
      </c>
      <c r="B11" t="s">
        <v>1777</v>
      </c>
      <c r="C11" t="s">
        <v>416</v>
      </c>
      <c r="D11" t="s">
        <v>1577</v>
      </c>
      <c r="X11" t="s">
        <v>1778</v>
      </c>
      <c r="AO11" t="s">
        <v>907</v>
      </c>
      <c r="AT11" t="s">
        <v>1779</v>
      </c>
      <c r="BP11" t="s">
        <v>1780</v>
      </c>
    </row>
    <row r="12" spans="1:76" x14ac:dyDescent="0.25">
      <c r="A12" t="s">
        <v>53</v>
      </c>
      <c r="B12" t="s">
        <v>1781</v>
      </c>
      <c r="C12" t="s">
        <v>199</v>
      </c>
      <c r="D12" t="s">
        <v>198</v>
      </c>
      <c r="X12" t="s">
        <v>1782</v>
      </c>
      <c r="AO12" t="s">
        <v>276</v>
      </c>
      <c r="AT12" t="s">
        <v>1053</v>
      </c>
      <c r="BP12" t="s">
        <v>1393</v>
      </c>
    </row>
    <row r="13" spans="1:76" x14ac:dyDescent="0.25">
      <c r="A13" t="s">
        <v>1582</v>
      </c>
      <c r="B13" t="s">
        <v>1783</v>
      </c>
      <c r="C13" t="s">
        <v>204</v>
      </c>
      <c r="D13" t="s">
        <v>198</v>
      </c>
      <c r="AO13" t="s">
        <v>273</v>
      </c>
      <c r="AT13" t="s">
        <v>1056</v>
      </c>
      <c r="BP13" t="s">
        <v>1397</v>
      </c>
    </row>
    <row r="14" spans="1:76" x14ac:dyDescent="0.25">
      <c r="A14" t="s">
        <v>252</v>
      </c>
      <c r="B14" t="s">
        <v>1784</v>
      </c>
      <c r="C14" t="s">
        <v>432</v>
      </c>
      <c r="D14" t="s">
        <v>1578</v>
      </c>
      <c r="AO14" t="s">
        <v>916</v>
      </c>
      <c r="AT14" t="s">
        <v>1785</v>
      </c>
    </row>
    <row r="15" spans="1:76" x14ac:dyDescent="0.25">
      <c r="A15" t="s">
        <v>50</v>
      </c>
      <c r="B15" t="s">
        <v>1786</v>
      </c>
      <c r="C15" t="s">
        <v>441</v>
      </c>
      <c r="D15" t="s">
        <v>1579</v>
      </c>
    </row>
    <row r="16" spans="1:76" x14ac:dyDescent="0.25">
      <c r="A16" t="s">
        <v>36</v>
      </c>
      <c r="B16" t="s">
        <v>1787</v>
      </c>
      <c r="C16" t="s">
        <v>1626</v>
      </c>
      <c r="D16" t="s">
        <v>1580</v>
      </c>
    </row>
    <row r="17" spans="1:4" x14ac:dyDescent="0.25">
      <c r="A17" t="s">
        <v>129</v>
      </c>
      <c r="B17" t="s">
        <v>1788</v>
      </c>
      <c r="C17" t="s">
        <v>460</v>
      </c>
      <c r="D17" t="s">
        <v>1581</v>
      </c>
    </row>
    <row r="18" spans="1:4" x14ac:dyDescent="0.25">
      <c r="A18" t="s">
        <v>1583</v>
      </c>
      <c r="B18" t="s">
        <v>1789</v>
      </c>
      <c r="C18" t="s">
        <v>1665</v>
      </c>
      <c r="D18" t="s">
        <v>1581</v>
      </c>
    </row>
    <row r="19" spans="1:4" x14ac:dyDescent="0.25">
      <c r="A19" t="s">
        <v>1584</v>
      </c>
      <c r="B19" t="s">
        <v>1790</v>
      </c>
      <c r="C19" t="s">
        <v>1690</v>
      </c>
      <c r="D19" t="s">
        <v>1581</v>
      </c>
    </row>
    <row r="20" spans="1:4" x14ac:dyDescent="0.25">
      <c r="A20" t="s">
        <v>1585</v>
      </c>
      <c r="B20" t="s">
        <v>1791</v>
      </c>
      <c r="C20" t="s">
        <v>1714</v>
      </c>
      <c r="D20" t="s">
        <v>1581</v>
      </c>
    </row>
    <row r="21" spans="1:4" x14ac:dyDescent="0.25">
      <c r="A21" t="s">
        <v>237</v>
      </c>
      <c r="B21" t="s">
        <v>1792</v>
      </c>
      <c r="C21" t="s">
        <v>54</v>
      </c>
      <c r="D21" t="s">
        <v>53</v>
      </c>
    </row>
    <row r="22" spans="1:4" x14ac:dyDescent="0.25">
      <c r="A22" t="s">
        <v>1586</v>
      </c>
      <c r="B22" t="s">
        <v>1793</v>
      </c>
      <c r="C22" t="s">
        <v>1666</v>
      </c>
      <c r="D22" t="s">
        <v>53</v>
      </c>
    </row>
    <row r="23" spans="1:4" x14ac:dyDescent="0.25">
      <c r="A23" t="s">
        <v>1587</v>
      </c>
      <c r="B23" t="s">
        <v>1794</v>
      </c>
      <c r="C23" t="s">
        <v>1691</v>
      </c>
      <c r="D23" t="s">
        <v>53</v>
      </c>
    </row>
    <row r="24" spans="1:4" x14ac:dyDescent="0.25">
      <c r="A24" t="s">
        <v>232</v>
      </c>
      <c r="B24" t="s">
        <v>1795</v>
      </c>
      <c r="C24" t="s">
        <v>1627</v>
      </c>
      <c r="D24" t="s">
        <v>1582</v>
      </c>
    </row>
    <row r="25" spans="1:4" x14ac:dyDescent="0.25">
      <c r="A25" t="s">
        <v>1588</v>
      </c>
      <c r="B25" t="s">
        <v>1796</v>
      </c>
      <c r="C25" t="s">
        <v>253</v>
      </c>
      <c r="D25" t="s">
        <v>252</v>
      </c>
    </row>
    <row r="26" spans="1:4" x14ac:dyDescent="0.25">
      <c r="A26" t="s">
        <v>1589</v>
      </c>
      <c r="B26" t="s">
        <v>1797</v>
      </c>
      <c r="C26" t="s">
        <v>51</v>
      </c>
      <c r="D26" t="s">
        <v>50</v>
      </c>
    </row>
    <row r="27" spans="1:4" x14ac:dyDescent="0.25">
      <c r="A27" t="s">
        <v>1590</v>
      </c>
      <c r="B27" t="s">
        <v>1798</v>
      </c>
      <c r="C27" t="s">
        <v>99</v>
      </c>
      <c r="D27" t="s">
        <v>50</v>
      </c>
    </row>
    <row r="28" spans="1:4" x14ac:dyDescent="0.25">
      <c r="A28" t="s">
        <v>1591</v>
      </c>
      <c r="B28" t="s">
        <v>1799</v>
      </c>
      <c r="C28" t="s">
        <v>1692</v>
      </c>
      <c r="D28" t="s">
        <v>50</v>
      </c>
    </row>
    <row r="29" spans="1:4" x14ac:dyDescent="0.25">
      <c r="A29" t="s">
        <v>1592</v>
      </c>
      <c r="B29" t="s">
        <v>1800</v>
      </c>
      <c r="C29" t="s">
        <v>521</v>
      </c>
      <c r="D29" t="s">
        <v>50</v>
      </c>
    </row>
    <row r="30" spans="1:4" x14ac:dyDescent="0.25">
      <c r="A30" t="s">
        <v>1593</v>
      </c>
      <c r="B30" t="s">
        <v>1801</v>
      </c>
      <c r="C30" t="s">
        <v>41</v>
      </c>
      <c r="D30" t="s">
        <v>36</v>
      </c>
    </row>
    <row r="31" spans="1:4" x14ac:dyDescent="0.25">
      <c r="A31" t="s">
        <v>1802</v>
      </c>
      <c r="B31" t="s">
        <v>1803</v>
      </c>
      <c r="C31" t="s">
        <v>46</v>
      </c>
      <c r="D31" t="s">
        <v>36</v>
      </c>
    </row>
    <row r="32" spans="1:4" x14ac:dyDescent="0.25">
      <c r="A32" t="s">
        <v>63</v>
      </c>
      <c r="B32" t="s">
        <v>1804</v>
      </c>
      <c r="C32" t="s">
        <v>37</v>
      </c>
      <c r="D32" t="s">
        <v>36</v>
      </c>
    </row>
    <row r="33" spans="1:4" x14ac:dyDescent="0.25">
      <c r="A33" t="s">
        <v>153</v>
      </c>
      <c r="B33" t="s">
        <v>1805</v>
      </c>
      <c r="C33" t="s">
        <v>546</v>
      </c>
      <c r="D33" t="s">
        <v>36</v>
      </c>
    </row>
    <row r="34" spans="1:4" x14ac:dyDescent="0.25">
      <c r="A34" t="s">
        <v>1595</v>
      </c>
      <c r="B34" t="s">
        <v>1806</v>
      </c>
      <c r="C34" t="s">
        <v>1732</v>
      </c>
      <c r="D34" t="s">
        <v>36</v>
      </c>
    </row>
    <row r="35" spans="1:4" x14ac:dyDescent="0.25">
      <c r="A35" t="s">
        <v>169</v>
      </c>
      <c r="B35" t="s">
        <v>1807</v>
      </c>
      <c r="C35" t="s">
        <v>114</v>
      </c>
      <c r="D35" t="s">
        <v>36</v>
      </c>
    </row>
    <row r="36" spans="1:4" x14ac:dyDescent="0.25">
      <c r="A36" t="s">
        <v>1596</v>
      </c>
      <c r="B36" t="s">
        <v>1808</v>
      </c>
      <c r="C36" t="s">
        <v>1756</v>
      </c>
      <c r="D36" t="s">
        <v>36</v>
      </c>
    </row>
    <row r="37" spans="1:4" x14ac:dyDescent="0.25">
      <c r="A37" t="s">
        <v>1597</v>
      </c>
      <c r="B37" t="s">
        <v>1809</v>
      </c>
      <c r="C37" t="s">
        <v>1767</v>
      </c>
      <c r="D37" t="s">
        <v>36</v>
      </c>
    </row>
    <row r="38" spans="1:4" x14ac:dyDescent="0.25">
      <c r="A38" t="s">
        <v>272</v>
      </c>
      <c r="B38" t="s">
        <v>1810</v>
      </c>
      <c r="C38" t="s">
        <v>1628</v>
      </c>
      <c r="D38" t="s">
        <v>129</v>
      </c>
    </row>
    <row r="39" spans="1:4" x14ac:dyDescent="0.25">
      <c r="A39" t="s">
        <v>1598</v>
      </c>
      <c r="B39" t="s">
        <v>1811</v>
      </c>
      <c r="C39" t="s">
        <v>1667</v>
      </c>
      <c r="D39" t="s">
        <v>129</v>
      </c>
    </row>
    <row r="40" spans="1:4" x14ac:dyDescent="0.25">
      <c r="A40" t="s">
        <v>144</v>
      </c>
      <c r="B40" t="s">
        <v>1812</v>
      </c>
      <c r="C40" t="s">
        <v>104</v>
      </c>
      <c r="D40" t="s">
        <v>129</v>
      </c>
    </row>
    <row r="41" spans="1:4" x14ac:dyDescent="0.25">
      <c r="A41" t="s">
        <v>149</v>
      </c>
      <c r="B41" t="s">
        <v>1813</v>
      </c>
      <c r="C41" t="s">
        <v>130</v>
      </c>
      <c r="D41" t="s">
        <v>129</v>
      </c>
    </row>
    <row r="42" spans="1:4" x14ac:dyDescent="0.25">
      <c r="A42" t="s">
        <v>1599</v>
      </c>
      <c r="B42" t="s">
        <v>1814</v>
      </c>
      <c r="C42" t="s">
        <v>1629</v>
      </c>
      <c r="D42" t="s">
        <v>1583</v>
      </c>
    </row>
    <row r="43" spans="1:4" x14ac:dyDescent="0.25">
      <c r="A43" t="s">
        <v>1600</v>
      </c>
      <c r="B43" t="s">
        <v>1815</v>
      </c>
      <c r="C43" t="s">
        <v>1630</v>
      </c>
      <c r="D43" t="s">
        <v>1584</v>
      </c>
    </row>
    <row r="44" spans="1:4" x14ac:dyDescent="0.25">
      <c r="A44" t="s">
        <v>1601</v>
      </c>
      <c r="B44" t="s">
        <v>1816</v>
      </c>
      <c r="C44" t="s">
        <v>1668</v>
      </c>
      <c r="D44" t="s">
        <v>1584</v>
      </c>
    </row>
    <row r="45" spans="1:4" x14ac:dyDescent="0.25">
      <c r="A45" t="s">
        <v>1602</v>
      </c>
      <c r="B45" t="s">
        <v>1817</v>
      </c>
      <c r="C45" t="s">
        <v>1631</v>
      </c>
      <c r="D45" t="s">
        <v>1585</v>
      </c>
    </row>
    <row r="46" spans="1:4" x14ac:dyDescent="0.25">
      <c r="A46" t="s">
        <v>183</v>
      </c>
      <c r="B46" t="s">
        <v>1818</v>
      </c>
      <c r="C46" t="s">
        <v>1669</v>
      </c>
      <c r="D46" t="s">
        <v>1585</v>
      </c>
    </row>
    <row r="47" spans="1:4" x14ac:dyDescent="0.25">
      <c r="A47" t="s">
        <v>192</v>
      </c>
      <c r="B47" t="s">
        <v>1819</v>
      </c>
      <c r="C47" t="s">
        <v>1693</v>
      </c>
      <c r="D47" t="s">
        <v>1585</v>
      </c>
    </row>
    <row r="48" spans="1:4" x14ac:dyDescent="0.25">
      <c r="A48" t="s">
        <v>135</v>
      </c>
      <c r="B48" t="s">
        <v>1820</v>
      </c>
      <c r="C48" t="s">
        <v>623</v>
      </c>
      <c r="D48" t="s">
        <v>237</v>
      </c>
    </row>
    <row r="49" spans="1:4" x14ac:dyDescent="0.25">
      <c r="A49" t="s">
        <v>1603</v>
      </c>
      <c r="B49" t="s">
        <v>1821</v>
      </c>
      <c r="C49" t="s">
        <v>630</v>
      </c>
      <c r="D49" t="s">
        <v>237</v>
      </c>
    </row>
    <row r="50" spans="1:4" x14ac:dyDescent="0.25">
      <c r="A50" t="s">
        <v>1604</v>
      </c>
      <c r="B50" t="s">
        <v>1822</v>
      </c>
      <c r="C50" t="s">
        <v>633</v>
      </c>
      <c r="D50" t="s">
        <v>237</v>
      </c>
    </row>
    <row r="51" spans="1:4" x14ac:dyDescent="0.25">
      <c r="A51" t="s">
        <v>1605</v>
      </c>
      <c r="B51" t="s">
        <v>1823</v>
      </c>
      <c r="C51" t="s">
        <v>238</v>
      </c>
      <c r="D51" t="s">
        <v>237</v>
      </c>
    </row>
    <row r="52" spans="1:4" x14ac:dyDescent="0.25">
      <c r="A52" t="s">
        <v>1606</v>
      </c>
      <c r="B52" t="s">
        <v>1824</v>
      </c>
      <c r="C52" t="s">
        <v>1733</v>
      </c>
      <c r="D52" t="s">
        <v>237</v>
      </c>
    </row>
    <row r="53" spans="1:4" x14ac:dyDescent="0.25">
      <c r="A53" t="s">
        <v>1607</v>
      </c>
      <c r="B53" t="s">
        <v>1825</v>
      </c>
      <c r="C53" t="s">
        <v>1747</v>
      </c>
      <c r="D53" t="s">
        <v>237</v>
      </c>
    </row>
    <row r="54" spans="1:4" x14ac:dyDescent="0.25">
      <c r="A54" t="s">
        <v>216</v>
      </c>
      <c r="B54" t="s">
        <v>1826</v>
      </c>
      <c r="C54" t="s">
        <v>1757</v>
      </c>
      <c r="D54" t="s">
        <v>237</v>
      </c>
    </row>
    <row r="55" spans="1:4" x14ac:dyDescent="0.25">
      <c r="A55" t="s">
        <v>1608</v>
      </c>
      <c r="B55" t="s">
        <v>1827</v>
      </c>
      <c r="C55" t="s">
        <v>1768</v>
      </c>
      <c r="D55" t="s">
        <v>237</v>
      </c>
    </row>
    <row r="56" spans="1:4" x14ac:dyDescent="0.25">
      <c r="A56" t="s">
        <v>1609</v>
      </c>
      <c r="B56" t="s">
        <v>1828</v>
      </c>
      <c r="C56" t="s">
        <v>1775</v>
      </c>
      <c r="D56" t="s">
        <v>237</v>
      </c>
    </row>
    <row r="57" spans="1:4" x14ac:dyDescent="0.25">
      <c r="A57" t="s">
        <v>179</v>
      </c>
      <c r="B57" t="s">
        <v>1829</v>
      </c>
      <c r="C57" t="s">
        <v>1778</v>
      </c>
      <c r="D57" t="s">
        <v>237</v>
      </c>
    </row>
    <row r="58" spans="1:4" x14ac:dyDescent="0.25">
      <c r="A58" t="s">
        <v>1610</v>
      </c>
      <c r="B58" t="s">
        <v>1830</v>
      </c>
      <c r="C58" t="s">
        <v>1782</v>
      </c>
      <c r="D58" t="s">
        <v>237</v>
      </c>
    </row>
    <row r="59" spans="1:4" x14ac:dyDescent="0.25">
      <c r="A59" t="s">
        <v>1611</v>
      </c>
      <c r="B59" t="s">
        <v>1831</v>
      </c>
      <c r="C59" t="s">
        <v>1632</v>
      </c>
      <c r="D59" t="s">
        <v>1586</v>
      </c>
    </row>
    <row r="60" spans="1:4" x14ac:dyDescent="0.25">
      <c r="A60" t="s">
        <v>1612</v>
      </c>
      <c r="B60" t="s">
        <v>1832</v>
      </c>
      <c r="C60" t="s">
        <v>1670</v>
      </c>
      <c r="D60" t="s">
        <v>1586</v>
      </c>
    </row>
    <row r="61" spans="1:4" x14ac:dyDescent="0.25">
      <c r="A61" t="s">
        <v>1613</v>
      </c>
      <c r="B61" t="s">
        <v>1833</v>
      </c>
      <c r="C61" t="s">
        <v>1633</v>
      </c>
      <c r="D61" t="s">
        <v>1587</v>
      </c>
    </row>
    <row r="62" spans="1:4" x14ac:dyDescent="0.25">
      <c r="A62" t="s">
        <v>1614</v>
      </c>
      <c r="B62" t="s">
        <v>1834</v>
      </c>
      <c r="C62" t="s">
        <v>697</v>
      </c>
      <c r="D62" t="s">
        <v>232</v>
      </c>
    </row>
    <row r="63" spans="1:4" x14ac:dyDescent="0.25">
      <c r="A63" t="s">
        <v>174</v>
      </c>
      <c r="B63" t="s">
        <v>1835</v>
      </c>
      <c r="C63" t="s">
        <v>706</v>
      </c>
      <c r="D63" t="s">
        <v>232</v>
      </c>
    </row>
    <row r="64" spans="1:4" x14ac:dyDescent="0.25">
      <c r="A64" t="s">
        <v>1615</v>
      </c>
      <c r="B64" t="s">
        <v>1836</v>
      </c>
      <c r="C64" t="s">
        <v>1694</v>
      </c>
      <c r="D64" t="s">
        <v>232</v>
      </c>
    </row>
    <row r="65" spans="1:4" x14ac:dyDescent="0.25">
      <c r="A65" t="s">
        <v>1837</v>
      </c>
      <c r="B65" t="s">
        <v>1838</v>
      </c>
      <c r="C65" t="s">
        <v>714</v>
      </c>
      <c r="D65" t="s">
        <v>232</v>
      </c>
    </row>
    <row r="66" spans="1:4" x14ac:dyDescent="0.25">
      <c r="A66" t="s">
        <v>1617</v>
      </c>
      <c r="B66" t="s">
        <v>1839</v>
      </c>
      <c r="C66" t="s">
        <v>233</v>
      </c>
      <c r="D66" t="s">
        <v>232</v>
      </c>
    </row>
    <row r="67" spans="1:4" x14ac:dyDescent="0.25">
      <c r="A67" t="s">
        <v>1618</v>
      </c>
      <c r="B67" t="s">
        <v>1840</v>
      </c>
      <c r="C67" t="s">
        <v>724</v>
      </c>
      <c r="D67" t="s">
        <v>1588</v>
      </c>
    </row>
    <row r="68" spans="1:4" x14ac:dyDescent="0.25">
      <c r="A68" t="s">
        <v>1619</v>
      </c>
      <c r="B68" t="s">
        <v>1841</v>
      </c>
      <c r="C68" t="s">
        <v>1634</v>
      </c>
      <c r="D68" t="s">
        <v>1589</v>
      </c>
    </row>
    <row r="69" spans="1:4" x14ac:dyDescent="0.25">
      <c r="A69" t="s">
        <v>1620</v>
      </c>
      <c r="B69" t="s">
        <v>1842</v>
      </c>
      <c r="C69" t="s">
        <v>1635</v>
      </c>
      <c r="D69" t="s">
        <v>1590</v>
      </c>
    </row>
    <row r="70" spans="1:4" x14ac:dyDescent="0.25">
      <c r="A70" t="s">
        <v>249</v>
      </c>
      <c r="B70" t="s">
        <v>1843</v>
      </c>
      <c r="C70" t="s">
        <v>1671</v>
      </c>
      <c r="D70" t="s">
        <v>1590</v>
      </c>
    </row>
    <row r="71" spans="1:4" x14ac:dyDescent="0.25">
      <c r="A71" t="s">
        <v>264</v>
      </c>
      <c r="B71" t="s">
        <v>1844</v>
      </c>
      <c r="C71" t="s">
        <v>1695</v>
      </c>
      <c r="D71" t="s">
        <v>1590</v>
      </c>
    </row>
    <row r="72" spans="1:4" x14ac:dyDescent="0.25">
      <c r="A72" t="s">
        <v>256</v>
      </c>
      <c r="B72" t="s">
        <v>1845</v>
      </c>
      <c r="C72" t="s">
        <v>1636</v>
      </c>
      <c r="D72" t="s">
        <v>1591</v>
      </c>
    </row>
    <row r="73" spans="1:4" x14ac:dyDescent="0.25">
      <c r="A73" t="s">
        <v>1846</v>
      </c>
      <c r="B73" t="s">
        <v>1847</v>
      </c>
      <c r="C73" t="s">
        <v>762</v>
      </c>
      <c r="D73" t="s">
        <v>1591</v>
      </c>
    </row>
    <row r="74" spans="1:4" x14ac:dyDescent="0.25">
      <c r="B74" t="s">
        <v>1848</v>
      </c>
      <c r="C74" t="s">
        <v>1637</v>
      </c>
      <c r="D74" t="s">
        <v>1592</v>
      </c>
    </row>
    <row r="75" spans="1:4" x14ac:dyDescent="0.25">
      <c r="B75" t="s">
        <v>1849</v>
      </c>
      <c r="C75" t="s">
        <v>1672</v>
      </c>
      <c r="D75" t="s">
        <v>1592</v>
      </c>
    </row>
    <row r="76" spans="1:4" x14ac:dyDescent="0.25">
      <c r="B76" t="s">
        <v>1850</v>
      </c>
      <c r="C76" t="s">
        <v>1696</v>
      </c>
      <c r="D76" t="s">
        <v>1592</v>
      </c>
    </row>
    <row r="77" spans="1:4" x14ac:dyDescent="0.25">
      <c r="B77" t="s">
        <v>1851</v>
      </c>
      <c r="C77" t="s">
        <v>1715</v>
      </c>
      <c r="D77" t="s">
        <v>1592</v>
      </c>
    </row>
    <row r="78" spans="1:4" x14ac:dyDescent="0.25">
      <c r="B78" t="s">
        <v>1852</v>
      </c>
      <c r="C78" t="s">
        <v>1734</v>
      </c>
      <c r="D78" t="s">
        <v>1592</v>
      </c>
    </row>
    <row r="79" spans="1:4" x14ac:dyDescent="0.25">
      <c r="B79" t="s">
        <v>1853</v>
      </c>
      <c r="C79" t="s">
        <v>1748</v>
      </c>
      <c r="D79" t="s">
        <v>1592</v>
      </c>
    </row>
    <row r="80" spans="1:4" x14ac:dyDescent="0.25">
      <c r="B80" t="s">
        <v>1854</v>
      </c>
      <c r="C80" t="s">
        <v>1758</v>
      </c>
      <c r="D80" t="s">
        <v>1592</v>
      </c>
    </row>
    <row r="81" spans="2:4" x14ac:dyDescent="0.25">
      <c r="B81" t="s">
        <v>1855</v>
      </c>
      <c r="C81" t="s">
        <v>1769</v>
      </c>
      <c r="D81" t="s">
        <v>1592</v>
      </c>
    </row>
    <row r="82" spans="2:4" x14ac:dyDescent="0.25">
      <c r="B82" t="s">
        <v>1856</v>
      </c>
      <c r="C82" t="s">
        <v>1638</v>
      </c>
      <c r="D82" t="s">
        <v>1593</v>
      </c>
    </row>
    <row r="83" spans="2:4" x14ac:dyDescent="0.25">
      <c r="B83" t="s">
        <v>1857</v>
      </c>
      <c r="C83" t="s">
        <v>1673</v>
      </c>
      <c r="D83" t="s">
        <v>1593</v>
      </c>
    </row>
    <row r="84" spans="2:4" x14ac:dyDescent="0.25">
      <c r="B84" t="s">
        <v>1858</v>
      </c>
      <c r="C84" t="s">
        <v>800</v>
      </c>
      <c r="D84" t="s">
        <v>1593</v>
      </c>
    </row>
    <row r="85" spans="2:4" x14ac:dyDescent="0.25">
      <c r="B85" t="s">
        <v>1859</v>
      </c>
      <c r="C85" t="s">
        <v>803</v>
      </c>
      <c r="D85" t="s">
        <v>1593</v>
      </c>
    </row>
    <row r="86" spans="2:4" x14ac:dyDescent="0.25">
      <c r="B86" t="s">
        <v>1802</v>
      </c>
      <c r="C86" t="s">
        <v>1639</v>
      </c>
      <c r="D86" t="s">
        <v>1594</v>
      </c>
    </row>
    <row r="87" spans="2:4" x14ac:dyDescent="0.25">
      <c r="B87" t="s">
        <v>1860</v>
      </c>
      <c r="C87" t="s">
        <v>64</v>
      </c>
      <c r="D87" t="s">
        <v>63</v>
      </c>
    </row>
    <row r="88" spans="2:4" x14ac:dyDescent="0.25">
      <c r="B88" t="s">
        <v>1861</v>
      </c>
      <c r="C88" t="s">
        <v>154</v>
      </c>
      <c r="D88" t="s">
        <v>153</v>
      </c>
    </row>
    <row r="89" spans="2:4" x14ac:dyDescent="0.25">
      <c r="B89" t="s">
        <v>1862</v>
      </c>
      <c r="C89" t="s">
        <v>831</v>
      </c>
      <c r="D89" t="s">
        <v>1595</v>
      </c>
    </row>
    <row r="90" spans="2:4" x14ac:dyDescent="0.25">
      <c r="B90" t="s">
        <v>1863</v>
      </c>
      <c r="C90" t="s">
        <v>170</v>
      </c>
      <c r="D90" t="s">
        <v>169</v>
      </c>
    </row>
    <row r="91" spans="2:4" x14ac:dyDescent="0.25">
      <c r="B91" t="s">
        <v>1864</v>
      </c>
      <c r="C91" t="s">
        <v>1640</v>
      </c>
      <c r="D91" t="s">
        <v>1596</v>
      </c>
    </row>
    <row r="92" spans="2:4" x14ac:dyDescent="0.25">
      <c r="B92" t="s">
        <v>1865</v>
      </c>
      <c r="C92" t="s">
        <v>1641</v>
      </c>
      <c r="D92" t="s">
        <v>1597</v>
      </c>
    </row>
    <row r="93" spans="2:4" x14ac:dyDescent="0.25">
      <c r="B93" t="s">
        <v>1866</v>
      </c>
      <c r="C93" t="s">
        <v>296</v>
      </c>
      <c r="D93" t="s">
        <v>272</v>
      </c>
    </row>
    <row r="94" spans="2:4" x14ac:dyDescent="0.25">
      <c r="B94" t="s">
        <v>1867</v>
      </c>
      <c r="C94" t="s">
        <v>285</v>
      </c>
      <c r="D94" t="s">
        <v>272</v>
      </c>
    </row>
    <row r="95" spans="2:4" x14ac:dyDescent="0.25">
      <c r="B95" t="s">
        <v>1868</v>
      </c>
      <c r="C95" t="s">
        <v>293</v>
      </c>
      <c r="D95" t="s">
        <v>272</v>
      </c>
    </row>
    <row r="96" spans="2:4" x14ac:dyDescent="0.25">
      <c r="B96" t="s">
        <v>1869</v>
      </c>
      <c r="C96" t="s">
        <v>881</v>
      </c>
      <c r="D96" t="s">
        <v>272</v>
      </c>
    </row>
    <row r="97" spans="1:4" x14ac:dyDescent="0.25">
      <c r="B97" t="s">
        <v>1870</v>
      </c>
      <c r="C97" t="s">
        <v>282</v>
      </c>
      <c r="D97" t="s">
        <v>272</v>
      </c>
    </row>
    <row r="98" spans="1:4" x14ac:dyDescent="0.25">
      <c r="B98" t="s">
        <v>1871</v>
      </c>
      <c r="C98" t="s">
        <v>889</v>
      </c>
      <c r="D98" t="s">
        <v>272</v>
      </c>
    </row>
    <row r="99" spans="1:4" x14ac:dyDescent="0.25">
      <c r="B99" t="s">
        <v>1872</v>
      </c>
      <c r="C99" t="s">
        <v>1759</v>
      </c>
      <c r="D99" t="s">
        <v>272</v>
      </c>
    </row>
    <row r="100" spans="1:4" x14ac:dyDescent="0.25">
      <c r="A100" s="179" t="s">
        <v>1873</v>
      </c>
      <c r="B100" t="s">
        <v>1874</v>
      </c>
      <c r="C100" t="s">
        <v>899</v>
      </c>
      <c r="D100" t="s">
        <v>272</v>
      </c>
    </row>
    <row r="101" spans="1:4" x14ac:dyDescent="0.25">
      <c r="A101" t="s">
        <v>1875</v>
      </c>
      <c r="B101" t="s">
        <v>1876</v>
      </c>
      <c r="C101" t="s">
        <v>279</v>
      </c>
      <c r="D101" t="s">
        <v>272</v>
      </c>
    </row>
    <row r="102" spans="1:4" x14ac:dyDescent="0.25">
      <c r="A102" t="s">
        <v>1877</v>
      </c>
      <c r="B102" t="s">
        <v>1878</v>
      </c>
      <c r="C102" t="s">
        <v>907</v>
      </c>
      <c r="D102" t="s">
        <v>272</v>
      </c>
    </row>
    <row r="103" spans="1:4" x14ac:dyDescent="0.25">
      <c r="A103" t="s">
        <v>1879</v>
      </c>
      <c r="B103" t="s">
        <v>1880</v>
      </c>
      <c r="C103" t="s">
        <v>276</v>
      </c>
      <c r="D103" t="s">
        <v>272</v>
      </c>
    </row>
    <row r="104" spans="1:4" x14ac:dyDescent="0.25">
      <c r="A104" t="s">
        <v>1881</v>
      </c>
      <c r="B104" t="s">
        <v>1882</v>
      </c>
      <c r="C104" t="s">
        <v>273</v>
      </c>
      <c r="D104" t="s">
        <v>272</v>
      </c>
    </row>
    <row r="105" spans="1:4" x14ac:dyDescent="0.25">
      <c r="A105" t="s">
        <v>221</v>
      </c>
      <c r="B105" t="s">
        <v>1883</v>
      </c>
      <c r="C105" t="s">
        <v>916</v>
      </c>
      <c r="D105" t="s">
        <v>272</v>
      </c>
    </row>
    <row r="106" spans="1:4" x14ac:dyDescent="0.25">
      <c r="A106" t="s">
        <v>1884</v>
      </c>
      <c r="B106" t="s">
        <v>1885</v>
      </c>
      <c r="C106" t="s">
        <v>920</v>
      </c>
      <c r="D106" t="s">
        <v>1598</v>
      </c>
    </row>
    <row r="107" spans="1:4" x14ac:dyDescent="0.25">
      <c r="A107" t="s">
        <v>224</v>
      </c>
      <c r="B107" t="s">
        <v>1886</v>
      </c>
      <c r="C107" t="s">
        <v>927</v>
      </c>
      <c r="D107" t="s">
        <v>1598</v>
      </c>
    </row>
    <row r="108" spans="1:4" x14ac:dyDescent="0.25">
      <c r="A108" t="s">
        <v>1887</v>
      </c>
      <c r="B108" t="s">
        <v>1888</v>
      </c>
      <c r="C108" t="s">
        <v>932</v>
      </c>
      <c r="D108" t="s">
        <v>1598</v>
      </c>
    </row>
    <row r="109" spans="1:4" x14ac:dyDescent="0.25">
      <c r="A109" t="s">
        <v>1889</v>
      </c>
      <c r="B109" t="s">
        <v>1890</v>
      </c>
      <c r="C109" t="s">
        <v>158</v>
      </c>
      <c r="D109" t="s">
        <v>144</v>
      </c>
    </row>
    <row r="110" spans="1:4" x14ac:dyDescent="0.25">
      <c r="A110" t="s">
        <v>1891</v>
      </c>
      <c r="B110" t="s">
        <v>1892</v>
      </c>
      <c r="C110" t="s">
        <v>145</v>
      </c>
      <c r="D110" t="s">
        <v>144</v>
      </c>
    </row>
    <row r="111" spans="1:4" x14ac:dyDescent="0.25">
      <c r="A111" t="s">
        <v>1893</v>
      </c>
      <c r="B111" t="s">
        <v>1894</v>
      </c>
      <c r="C111" t="s">
        <v>1697</v>
      </c>
      <c r="D111" t="s">
        <v>144</v>
      </c>
    </row>
    <row r="112" spans="1:4" x14ac:dyDescent="0.25">
      <c r="A112" t="s">
        <v>1895</v>
      </c>
      <c r="B112" t="s">
        <v>1896</v>
      </c>
      <c r="C112" t="s">
        <v>946</v>
      </c>
      <c r="D112" t="s">
        <v>144</v>
      </c>
    </row>
    <row r="113" spans="1:4" x14ac:dyDescent="0.25">
      <c r="A113" t="s">
        <v>1897</v>
      </c>
      <c r="B113" t="s">
        <v>1898</v>
      </c>
      <c r="C113" t="s">
        <v>150</v>
      </c>
      <c r="D113" t="s">
        <v>149</v>
      </c>
    </row>
    <row r="114" spans="1:4" x14ac:dyDescent="0.25">
      <c r="A114" t="s">
        <v>1899</v>
      </c>
      <c r="B114" t="s">
        <v>1900</v>
      </c>
      <c r="C114" t="s">
        <v>958</v>
      </c>
      <c r="D114" t="s">
        <v>149</v>
      </c>
    </row>
    <row r="115" spans="1:4" x14ac:dyDescent="0.25">
      <c r="A115" t="s">
        <v>1901</v>
      </c>
      <c r="B115" t="s">
        <v>1902</v>
      </c>
      <c r="C115" t="s">
        <v>960</v>
      </c>
      <c r="D115" t="s">
        <v>149</v>
      </c>
    </row>
    <row r="116" spans="1:4" x14ac:dyDescent="0.25">
      <c r="A116" t="s">
        <v>1903</v>
      </c>
      <c r="B116" t="s">
        <v>1904</v>
      </c>
      <c r="C116" t="s">
        <v>1716</v>
      </c>
      <c r="D116" t="s">
        <v>149</v>
      </c>
    </row>
    <row r="117" spans="1:4" x14ac:dyDescent="0.25">
      <c r="A117" t="s">
        <v>1905</v>
      </c>
      <c r="B117" t="s">
        <v>1906</v>
      </c>
      <c r="C117" t="s">
        <v>964</v>
      </c>
      <c r="D117" t="s">
        <v>149</v>
      </c>
    </row>
    <row r="118" spans="1:4" x14ac:dyDescent="0.25">
      <c r="A118" t="s">
        <v>1907</v>
      </c>
      <c r="B118" t="s">
        <v>1908</v>
      </c>
      <c r="C118" t="s">
        <v>1749</v>
      </c>
      <c r="D118" t="s">
        <v>149</v>
      </c>
    </row>
    <row r="119" spans="1:4" x14ac:dyDescent="0.25">
      <c r="A119" t="s">
        <v>1909</v>
      </c>
      <c r="B119" t="s">
        <v>1910</v>
      </c>
      <c r="C119" t="s">
        <v>1760</v>
      </c>
      <c r="D119" t="s">
        <v>149</v>
      </c>
    </row>
    <row r="120" spans="1:4" x14ac:dyDescent="0.25">
      <c r="A120" t="s">
        <v>1911</v>
      </c>
      <c r="B120" t="s">
        <v>1912</v>
      </c>
      <c r="C120" t="s">
        <v>977</v>
      </c>
      <c r="D120" t="s">
        <v>149</v>
      </c>
    </row>
    <row r="121" spans="1:4" x14ac:dyDescent="0.25">
      <c r="A121" t="s">
        <v>1913</v>
      </c>
      <c r="B121" t="s">
        <v>1914</v>
      </c>
      <c r="C121" t="s">
        <v>983</v>
      </c>
      <c r="D121" t="s">
        <v>1599</v>
      </c>
    </row>
    <row r="122" spans="1:4" x14ac:dyDescent="0.25">
      <c r="A122" t="s">
        <v>1915</v>
      </c>
      <c r="B122" t="s">
        <v>1916</v>
      </c>
      <c r="C122" t="s">
        <v>1674</v>
      </c>
      <c r="D122" t="s">
        <v>1599</v>
      </c>
    </row>
    <row r="123" spans="1:4" x14ac:dyDescent="0.25">
      <c r="A123" t="s">
        <v>1917</v>
      </c>
      <c r="B123" t="s">
        <v>1918</v>
      </c>
      <c r="C123" t="s">
        <v>996</v>
      </c>
      <c r="D123" t="s">
        <v>1599</v>
      </c>
    </row>
    <row r="124" spans="1:4" x14ac:dyDescent="0.25">
      <c r="A124" t="s">
        <v>1919</v>
      </c>
      <c r="B124" t="s">
        <v>1920</v>
      </c>
      <c r="C124" t="s">
        <v>1717</v>
      </c>
      <c r="D124" t="s">
        <v>1599</v>
      </c>
    </row>
    <row r="125" spans="1:4" x14ac:dyDescent="0.25">
      <c r="A125" t="s">
        <v>1921</v>
      </c>
      <c r="B125" t="s">
        <v>1922</v>
      </c>
      <c r="C125" t="s">
        <v>1735</v>
      </c>
      <c r="D125" t="s">
        <v>1599</v>
      </c>
    </row>
    <row r="126" spans="1:4" x14ac:dyDescent="0.25">
      <c r="A126" t="s">
        <v>1923</v>
      </c>
      <c r="B126" t="s">
        <v>1924</v>
      </c>
      <c r="C126" t="s">
        <v>1006</v>
      </c>
      <c r="D126" t="s">
        <v>1599</v>
      </c>
    </row>
    <row r="127" spans="1:4" x14ac:dyDescent="0.25">
      <c r="A127" t="s">
        <v>1925</v>
      </c>
      <c r="B127" t="s">
        <v>1926</v>
      </c>
      <c r="C127" t="s">
        <v>1761</v>
      </c>
      <c r="D127" t="s">
        <v>1599</v>
      </c>
    </row>
    <row r="128" spans="1:4" x14ac:dyDescent="0.25">
      <c r="A128" t="s">
        <v>1927</v>
      </c>
      <c r="B128" t="s">
        <v>1928</v>
      </c>
      <c r="C128" t="s">
        <v>1642</v>
      </c>
      <c r="D128" t="s">
        <v>1600</v>
      </c>
    </row>
    <row r="129" spans="1:4" x14ac:dyDescent="0.25">
      <c r="A129" t="s">
        <v>1929</v>
      </c>
      <c r="B129" t="s">
        <v>1930</v>
      </c>
      <c r="C129" t="s">
        <v>1022</v>
      </c>
      <c r="D129" t="s">
        <v>1600</v>
      </c>
    </row>
    <row r="130" spans="1:4" x14ac:dyDescent="0.25">
      <c r="A130" t="s">
        <v>1931</v>
      </c>
      <c r="B130" t="s">
        <v>1932</v>
      </c>
      <c r="C130" t="s">
        <v>1698</v>
      </c>
      <c r="D130" t="s">
        <v>1600</v>
      </c>
    </row>
    <row r="131" spans="1:4" x14ac:dyDescent="0.25">
      <c r="A131" t="s">
        <v>1933</v>
      </c>
      <c r="B131" t="s">
        <v>1934</v>
      </c>
      <c r="C131" t="s">
        <v>1027</v>
      </c>
      <c r="D131" t="s">
        <v>1600</v>
      </c>
    </row>
    <row r="132" spans="1:4" x14ac:dyDescent="0.25">
      <c r="A132" t="s">
        <v>1935</v>
      </c>
      <c r="B132" t="s">
        <v>1936</v>
      </c>
      <c r="C132" t="s">
        <v>1030</v>
      </c>
      <c r="D132" t="s">
        <v>1600</v>
      </c>
    </row>
    <row r="133" spans="1:4" x14ac:dyDescent="0.25">
      <c r="A133" t="s">
        <v>1937</v>
      </c>
      <c r="B133" t="s">
        <v>1938</v>
      </c>
      <c r="C133" t="s">
        <v>1750</v>
      </c>
      <c r="D133" t="s">
        <v>1600</v>
      </c>
    </row>
    <row r="134" spans="1:4" x14ac:dyDescent="0.25">
      <c r="A134" t="s">
        <v>1939</v>
      </c>
      <c r="B134" t="s">
        <v>1940</v>
      </c>
      <c r="C134" t="s">
        <v>1037</v>
      </c>
      <c r="D134" t="s">
        <v>1600</v>
      </c>
    </row>
    <row r="135" spans="1:4" x14ac:dyDescent="0.25">
      <c r="A135" t="s">
        <v>1941</v>
      </c>
      <c r="B135" t="s">
        <v>1942</v>
      </c>
      <c r="C135" t="s">
        <v>1041</v>
      </c>
      <c r="D135" t="s">
        <v>1600</v>
      </c>
    </row>
    <row r="136" spans="1:4" x14ac:dyDescent="0.25">
      <c r="A136" t="s">
        <v>1943</v>
      </c>
      <c r="B136" t="s">
        <v>1944</v>
      </c>
      <c r="C136" t="s">
        <v>1776</v>
      </c>
      <c r="D136" t="s">
        <v>1600</v>
      </c>
    </row>
    <row r="137" spans="1:4" x14ac:dyDescent="0.25">
      <c r="B137" t="s">
        <v>1945</v>
      </c>
      <c r="C137" t="s">
        <v>1779</v>
      </c>
      <c r="D137" t="s">
        <v>1600</v>
      </c>
    </row>
    <row r="138" spans="1:4" x14ac:dyDescent="0.25">
      <c r="B138" t="s">
        <v>1946</v>
      </c>
      <c r="C138" t="s">
        <v>1053</v>
      </c>
      <c r="D138" t="s">
        <v>1600</v>
      </c>
    </row>
    <row r="139" spans="1:4" x14ac:dyDescent="0.25">
      <c r="B139" t="s">
        <v>1947</v>
      </c>
      <c r="C139" t="s">
        <v>1056</v>
      </c>
      <c r="D139" t="s">
        <v>1600</v>
      </c>
    </row>
    <row r="140" spans="1:4" x14ac:dyDescent="0.25">
      <c r="B140" t="s">
        <v>1948</v>
      </c>
      <c r="C140" t="s">
        <v>1785</v>
      </c>
      <c r="D140" t="s">
        <v>1600</v>
      </c>
    </row>
    <row r="141" spans="1:4" x14ac:dyDescent="0.25">
      <c r="B141" t="s">
        <v>1949</v>
      </c>
      <c r="C141" t="s">
        <v>1643</v>
      </c>
      <c r="D141" t="s">
        <v>1601</v>
      </c>
    </row>
    <row r="142" spans="1:4" x14ac:dyDescent="0.25">
      <c r="B142" t="s">
        <v>1950</v>
      </c>
      <c r="C142" t="s">
        <v>1073</v>
      </c>
      <c r="D142" t="s">
        <v>1601</v>
      </c>
    </row>
    <row r="143" spans="1:4" x14ac:dyDescent="0.25">
      <c r="B143" t="s">
        <v>1951</v>
      </c>
      <c r="C143" t="s">
        <v>1699</v>
      </c>
      <c r="D143" t="s">
        <v>1601</v>
      </c>
    </row>
    <row r="144" spans="1:4" x14ac:dyDescent="0.25">
      <c r="B144" t="s">
        <v>1952</v>
      </c>
      <c r="C144" t="s">
        <v>1718</v>
      </c>
      <c r="D144" t="s">
        <v>1601</v>
      </c>
    </row>
    <row r="145" spans="1:17" x14ac:dyDescent="0.25">
      <c r="B145" t="s">
        <v>1953</v>
      </c>
      <c r="C145" t="s">
        <v>1644</v>
      </c>
      <c r="D145" t="s">
        <v>1602</v>
      </c>
    </row>
    <row r="146" spans="1:17" x14ac:dyDescent="0.25">
      <c r="B146" t="s">
        <v>1954</v>
      </c>
      <c r="C146" t="s">
        <v>1675</v>
      </c>
      <c r="D146" t="s">
        <v>1602</v>
      </c>
    </row>
    <row r="147" spans="1:17" x14ac:dyDescent="0.25">
      <c r="B147" t="s">
        <v>1955</v>
      </c>
      <c r="C147" t="s">
        <v>1700</v>
      </c>
      <c r="D147" t="s">
        <v>1602</v>
      </c>
    </row>
    <row r="148" spans="1:17" x14ac:dyDescent="0.25">
      <c r="B148" t="s">
        <v>1956</v>
      </c>
      <c r="C148" t="s">
        <v>1719</v>
      </c>
      <c r="D148" t="s">
        <v>1602</v>
      </c>
    </row>
    <row r="149" spans="1:17" x14ac:dyDescent="0.25">
      <c r="B149" t="s">
        <v>1957</v>
      </c>
      <c r="C149" t="s">
        <v>1736</v>
      </c>
      <c r="D149" t="s">
        <v>1602</v>
      </c>
    </row>
    <row r="150" spans="1:17" x14ac:dyDescent="0.25">
      <c r="A150" s="182" t="s">
        <v>1958</v>
      </c>
      <c r="B150" s="183" t="s">
        <v>1959</v>
      </c>
      <c r="C150" s="183" t="s">
        <v>220</v>
      </c>
      <c r="D150" s="183" t="s">
        <v>1960</v>
      </c>
      <c r="E150" s="183" t="s">
        <v>1961</v>
      </c>
      <c r="F150" s="183" t="s">
        <v>1962</v>
      </c>
      <c r="G150" s="183" t="s">
        <v>1963</v>
      </c>
      <c r="H150" s="183" t="s">
        <v>1964</v>
      </c>
      <c r="I150" s="183" t="s">
        <v>1965</v>
      </c>
      <c r="J150" s="183" t="s">
        <v>162</v>
      </c>
      <c r="K150" s="183" t="s">
        <v>1966</v>
      </c>
      <c r="P150" s="178" t="s">
        <v>1967</v>
      </c>
      <c r="Q150" s="178" t="s">
        <v>1968</v>
      </c>
    </row>
    <row r="151" spans="1:17" x14ac:dyDescent="0.25">
      <c r="A151" t="s">
        <v>1959</v>
      </c>
      <c r="B151" t="s">
        <v>1875</v>
      </c>
      <c r="C151" t="s">
        <v>1881</v>
      </c>
      <c r="D151" t="s">
        <v>1889</v>
      </c>
      <c r="E151" t="s">
        <v>1899</v>
      </c>
      <c r="F151" t="s">
        <v>1907</v>
      </c>
      <c r="G151" t="s">
        <v>1915</v>
      </c>
      <c r="H151" t="s">
        <v>1925</v>
      </c>
      <c r="I151" t="s">
        <v>1931</v>
      </c>
      <c r="J151" t="s">
        <v>1935</v>
      </c>
      <c r="K151" t="s">
        <v>1941</v>
      </c>
      <c r="P151" t="s">
        <v>1959</v>
      </c>
      <c r="Q151" t="s">
        <v>1969</v>
      </c>
    </row>
    <row r="152" spans="1:17" x14ac:dyDescent="0.25">
      <c r="A152" t="s">
        <v>220</v>
      </c>
      <c r="B152" t="s">
        <v>1877</v>
      </c>
      <c r="C152" t="s">
        <v>221</v>
      </c>
      <c r="D152" t="s">
        <v>1891</v>
      </c>
      <c r="E152" t="s">
        <v>1901</v>
      </c>
      <c r="F152" t="s">
        <v>1909</v>
      </c>
      <c r="G152" t="s">
        <v>1917</v>
      </c>
      <c r="H152" t="s">
        <v>1927</v>
      </c>
      <c r="I152" t="s">
        <v>1933</v>
      </c>
      <c r="J152" t="s">
        <v>1937</v>
      </c>
      <c r="K152" t="s">
        <v>1943</v>
      </c>
      <c r="P152" t="s">
        <v>220</v>
      </c>
      <c r="Q152" t="s">
        <v>1970</v>
      </c>
    </row>
    <row r="153" spans="1:17" x14ac:dyDescent="0.25">
      <c r="A153" t="s">
        <v>1960</v>
      </c>
      <c r="B153" t="s">
        <v>1879</v>
      </c>
      <c r="C153" t="s">
        <v>1884</v>
      </c>
      <c r="D153" t="s">
        <v>1893</v>
      </c>
      <c r="E153" t="s">
        <v>1903</v>
      </c>
      <c r="F153" t="s">
        <v>1911</v>
      </c>
      <c r="G153" t="s">
        <v>1919</v>
      </c>
      <c r="H153" t="s">
        <v>1929</v>
      </c>
      <c r="J153" t="s">
        <v>1939</v>
      </c>
      <c r="P153" t="s">
        <v>1960</v>
      </c>
      <c r="Q153" t="s">
        <v>1971</v>
      </c>
    </row>
    <row r="154" spans="1:17" x14ac:dyDescent="0.25">
      <c r="A154" t="s">
        <v>1961</v>
      </c>
      <c r="B154" t="s">
        <v>1972</v>
      </c>
      <c r="C154" t="s">
        <v>224</v>
      </c>
      <c r="D154" t="s">
        <v>1895</v>
      </c>
      <c r="E154" t="s">
        <v>1905</v>
      </c>
      <c r="F154" t="s">
        <v>1913</v>
      </c>
      <c r="G154" t="s">
        <v>1921</v>
      </c>
      <c r="P154" t="s">
        <v>1961</v>
      </c>
      <c r="Q154" t="s">
        <v>1973</v>
      </c>
    </row>
    <row r="155" spans="1:17" x14ac:dyDescent="0.25">
      <c r="A155" t="s">
        <v>1962</v>
      </c>
      <c r="B155" t="s">
        <v>1974</v>
      </c>
      <c r="C155" t="s">
        <v>1887</v>
      </c>
      <c r="D155" t="s">
        <v>1897</v>
      </c>
      <c r="G155" t="s">
        <v>1923</v>
      </c>
      <c r="P155" t="s">
        <v>1962</v>
      </c>
      <c r="Q155" t="s">
        <v>1975</v>
      </c>
    </row>
    <row r="156" spans="1:17" x14ac:dyDescent="0.25">
      <c r="A156" t="s">
        <v>1963</v>
      </c>
      <c r="B156" t="s">
        <v>1976</v>
      </c>
      <c r="C156" t="s">
        <v>1720</v>
      </c>
      <c r="D156" t="s">
        <v>183</v>
      </c>
      <c r="P156" t="s">
        <v>1963</v>
      </c>
      <c r="Q156" t="s">
        <v>1977</v>
      </c>
    </row>
    <row r="157" spans="1:17" x14ac:dyDescent="0.25">
      <c r="A157" t="s">
        <v>1964</v>
      </c>
      <c r="B157" t="s">
        <v>1978</v>
      </c>
      <c r="C157" t="s">
        <v>1646</v>
      </c>
      <c r="D157" t="s">
        <v>192</v>
      </c>
      <c r="P157" t="s">
        <v>1964</v>
      </c>
      <c r="Q157" t="s">
        <v>1979</v>
      </c>
    </row>
    <row r="158" spans="1:17" x14ac:dyDescent="0.25">
      <c r="A158" t="s">
        <v>1965</v>
      </c>
      <c r="B158" t="s">
        <v>1980</v>
      </c>
      <c r="C158" t="s">
        <v>193</v>
      </c>
      <c r="D158" t="s">
        <v>192</v>
      </c>
      <c r="P158" t="s">
        <v>1965</v>
      </c>
      <c r="Q158" t="s">
        <v>1981</v>
      </c>
    </row>
    <row r="159" spans="1:17" x14ac:dyDescent="0.25">
      <c r="A159" t="s">
        <v>162</v>
      </c>
      <c r="B159" t="s">
        <v>1982</v>
      </c>
      <c r="C159" t="s">
        <v>1702</v>
      </c>
      <c r="D159" t="s">
        <v>192</v>
      </c>
      <c r="P159" t="s">
        <v>162</v>
      </c>
      <c r="Q159" t="s">
        <v>1983</v>
      </c>
    </row>
    <row r="160" spans="1:17" x14ac:dyDescent="0.25">
      <c r="A160" t="s">
        <v>1966</v>
      </c>
      <c r="B160" t="s">
        <v>1984</v>
      </c>
      <c r="C160" t="s">
        <v>1721</v>
      </c>
      <c r="D160" t="s">
        <v>192</v>
      </c>
      <c r="P160" t="s">
        <v>1966</v>
      </c>
      <c r="Q160" t="s">
        <v>1985</v>
      </c>
    </row>
    <row r="161" spans="2:4" x14ac:dyDescent="0.25">
      <c r="B161" t="s">
        <v>1986</v>
      </c>
      <c r="C161" t="s">
        <v>1737</v>
      </c>
      <c r="D161" t="s">
        <v>192</v>
      </c>
    </row>
    <row r="162" spans="2:4" x14ac:dyDescent="0.25">
      <c r="B162" t="s">
        <v>1987</v>
      </c>
      <c r="C162" t="s">
        <v>136</v>
      </c>
      <c r="D162" t="s">
        <v>135</v>
      </c>
    </row>
    <row r="163" spans="2:4" x14ac:dyDescent="0.25">
      <c r="B163" t="s">
        <v>1988</v>
      </c>
      <c r="C163" t="s">
        <v>197</v>
      </c>
      <c r="D163" t="s">
        <v>135</v>
      </c>
    </row>
    <row r="164" spans="2:4" x14ac:dyDescent="0.25">
      <c r="B164" t="s">
        <v>1989</v>
      </c>
      <c r="C164" t="s">
        <v>1139</v>
      </c>
      <c r="D164" t="s">
        <v>1603</v>
      </c>
    </row>
    <row r="165" spans="2:4" x14ac:dyDescent="0.25">
      <c r="B165" t="s">
        <v>1990</v>
      </c>
      <c r="C165" t="s">
        <v>1147</v>
      </c>
      <c r="D165" t="s">
        <v>1604</v>
      </c>
    </row>
    <row r="166" spans="2:4" x14ac:dyDescent="0.25">
      <c r="B166" t="s">
        <v>1991</v>
      </c>
      <c r="C166" t="s">
        <v>1676</v>
      </c>
      <c r="D166" t="s">
        <v>1604</v>
      </c>
    </row>
    <row r="167" spans="2:4" x14ac:dyDescent="0.25">
      <c r="B167" t="s">
        <v>1992</v>
      </c>
      <c r="C167" t="s">
        <v>1703</v>
      </c>
      <c r="D167" t="s">
        <v>1604</v>
      </c>
    </row>
    <row r="168" spans="2:4" x14ac:dyDescent="0.25">
      <c r="B168" t="s">
        <v>1993</v>
      </c>
      <c r="C168" t="s">
        <v>1722</v>
      </c>
      <c r="D168" t="s">
        <v>1604</v>
      </c>
    </row>
    <row r="169" spans="2:4" x14ac:dyDescent="0.25">
      <c r="B169" t="s">
        <v>1994</v>
      </c>
      <c r="C169" t="s">
        <v>1738</v>
      </c>
      <c r="D169" t="s">
        <v>1604</v>
      </c>
    </row>
    <row r="170" spans="2:4" x14ac:dyDescent="0.25">
      <c r="B170" t="s">
        <v>1995</v>
      </c>
      <c r="C170" t="s">
        <v>1752</v>
      </c>
      <c r="D170" t="s">
        <v>1604</v>
      </c>
    </row>
    <row r="171" spans="2:4" x14ac:dyDescent="0.25">
      <c r="B171" t="s">
        <v>1996</v>
      </c>
      <c r="C171" t="s">
        <v>1763</v>
      </c>
      <c r="D171" t="s">
        <v>1604</v>
      </c>
    </row>
    <row r="172" spans="2:4" x14ac:dyDescent="0.25">
      <c r="B172" t="s">
        <v>1997</v>
      </c>
      <c r="C172" t="s">
        <v>1771</v>
      </c>
      <c r="D172" t="s">
        <v>1604</v>
      </c>
    </row>
    <row r="173" spans="2:4" x14ac:dyDescent="0.25">
      <c r="B173" t="s">
        <v>1998</v>
      </c>
      <c r="C173" t="s">
        <v>1647</v>
      </c>
      <c r="D173" t="s">
        <v>1605</v>
      </c>
    </row>
    <row r="174" spans="2:4" x14ac:dyDescent="0.25">
      <c r="B174" t="s">
        <v>1999</v>
      </c>
      <c r="C174" t="s">
        <v>1677</v>
      </c>
      <c r="D174" t="s">
        <v>1605</v>
      </c>
    </row>
    <row r="175" spans="2:4" x14ac:dyDescent="0.25">
      <c r="B175" t="s">
        <v>2000</v>
      </c>
      <c r="C175" t="s">
        <v>1176</v>
      </c>
      <c r="D175" t="s">
        <v>1605</v>
      </c>
    </row>
    <row r="176" spans="2:4" x14ac:dyDescent="0.25">
      <c r="B176" t="s">
        <v>2001</v>
      </c>
      <c r="C176" t="s">
        <v>1178</v>
      </c>
      <c r="D176" t="s">
        <v>1605</v>
      </c>
    </row>
    <row r="177" spans="2:4" x14ac:dyDescent="0.25">
      <c r="B177" t="s">
        <v>2002</v>
      </c>
      <c r="C177" t="s">
        <v>1739</v>
      </c>
      <c r="D177" t="s">
        <v>1605</v>
      </c>
    </row>
    <row r="178" spans="2:4" x14ac:dyDescent="0.25">
      <c r="B178" t="s">
        <v>2003</v>
      </c>
      <c r="C178" t="s">
        <v>1648</v>
      </c>
      <c r="D178" t="s">
        <v>1606</v>
      </c>
    </row>
    <row r="179" spans="2:4" x14ac:dyDescent="0.25">
      <c r="B179" t="s">
        <v>2004</v>
      </c>
      <c r="C179" t="s">
        <v>1678</v>
      </c>
      <c r="D179" t="s">
        <v>1606</v>
      </c>
    </row>
    <row r="180" spans="2:4" x14ac:dyDescent="0.25">
      <c r="B180" t="s">
        <v>2005</v>
      </c>
      <c r="C180" t="s">
        <v>1189</v>
      </c>
      <c r="D180" t="s">
        <v>1606</v>
      </c>
    </row>
    <row r="181" spans="2:4" x14ac:dyDescent="0.25">
      <c r="B181" t="s">
        <v>2006</v>
      </c>
      <c r="C181" t="s">
        <v>1723</v>
      </c>
      <c r="D181" t="s">
        <v>1606</v>
      </c>
    </row>
    <row r="182" spans="2:4" x14ac:dyDescent="0.25">
      <c r="B182" t="s">
        <v>2007</v>
      </c>
      <c r="C182" t="s">
        <v>1740</v>
      </c>
      <c r="D182" t="s">
        <v>1606</v>
      </c>
    </row>
    <row r="183" spans="2:4" x14ac:dyDescent="0.25">
      <c r="B183" t="s">
        <v>2008</v>
      </c>
      <c r="C183" t="s">
        <v>1196</v>
      </c>
      <c r="D183" t="s">
        <v>1606</v>
      </c>
    </row>
    <row r="184" spans="2:4" x14ac:dyDescent="0.25">
      <c r="B184" t="s">
        <v>2009</v>
      </c>
      <c r="C184" t="s">
        <v>1649</v>
      </c>
      <c r="D184" t="s">
        <v>1607</v>
      </c>
    </row>
    <row r="185" spans="2:4" x14ac:dyDescent="0.25">
      <c r="B185" t="s">
        <v>2010</v>
      </c>
      <c r="C185" t="s">
        <v>1679</v>
      </c>
      <c r="D185" t="s">
        <v>1607</v>
      </c>
    </row>
    <row r="186" spans="2:4" x14ac:dyDescent="0.25">
      <c r="B186" t="s">
        <v>2011</v>
      </c>
      <c r="C186" t="s">
        <v>1704</v>
      </c>
      <c r="D186" t="s">
        <v>1607</v>
      </c>
    </row>
    <row r="187" spans="2:4" x14ac:dyDescent="0.25">
      <c r="B187" t="s">
        <v>2012</v>
      </c>
      <c r="C187" t="s">
        <v>1650</v>
      </c>
      <c r="D187" t="s">
        <v>216</v>
      </c>
    </row>
    <row r="188" spans="2:4" x14ac:dyDescent="0.25">
      <c r="B188" t="s">
        <v>2013</v>
      </c>
      <c r="C188" t="s">
        <v>1224</v>
      </c>
      <c r="D188" t="s">
        <v>216</v>
      </c>
    </row>
    <row r="189" spans="2:4" x14ac:dyDescent="0.25">
      <c r="B189" t="s">
        <v>2014</v>
      </c>
      <c r="C189" t="s">
        <v>1705</v>
      </c>
      <c r="D189" t="s">
        <v>216</v>
      </c>
    </row>
    <row r="190" spans="2:4" x14ac:dyDescent="0.25">
      <c r="B190" t="s">
        <v>2015</v>
      </c>
      <c r="C190" t="s">
        <v>1724</v>
      </c>
      <c r="D190" t="s">
        <v>216</v>
      </c>
    </row>
    <row r="191" spans="2:4" x14ac:dyDescent="0.25">
      <c r="B191" t="s">
        <v>2016</v>
      </c>
      <c r="C191" t="s">
        <v>1741</v>
      </c>
      <c r="D191" t="s">
        <v>216</v>
      </c>
    </row>
    <row r="192" spans="2:4" x14ac:dyDescent="0.25">
      <c r="B192" t="s">
        <v>2017</v>
      </c>
      <c r="C192" t="s">
        <v>1651</v>
      </c>
      <c r="D192" t="s">
        <v>1608</v>
      </c>
    </row>
    <row r="193" spans="2:4" x14ac:dyDescent="0.25">
      <c r="B193" t="s">
        <v>2018</v>
      </c>
      <c r="C193" t="s">
        <v>1680</v>
      </c>
      <c r="D193" t="s">
        <v>1608</v>
      </c>
    </row>
    <row r="194" spans="2:4" x14ac:dyDescent="0.25">
      <c r="B194" t="s">
        <v>2019</v>
      </c>
      <c r="C194" t="s">
        <v>1706</v>
      </c>
      <c r="D194" t="s">
        <v>1608</v>
      </c>
    </row>
    <row r="195" spans="2:4" x14ac:dyDescent="0.25">
      <c r="B195" t="s">
        <v>2020</v>
      </c>
      <c r="C195" t="s">
        <v>1652</v>
      </c>
      <c r="D195" t="s">
        <v>1609</v>
      </c>
    </row>
    <row r="196" spans="2:4" x14ac:dyDescent="0.25">
      <c r="B196" t="s">
        <v>2021</v>
      </c>
      <c r="C196" t="s">
        <v>1653</v>
      </c>
      <c r="D196" t="s">
        <v>179</v>
      </c>
    </row>
    <row r="197" spans="2:4" x14ac:dyDescent="0.25">
      <c r="B197" t="s">
        <v>2022</v>
      </c>
      <c r="C197" t="s">
        <v>207</v>
      </c>
      <c r="D197" t="s">
        <v>179</v>
      </c>
    </row>
    <row r="198" spans="2:4" x14ac:dyDescent="0.25">
      <c r="B198" t="s">
        <v>2023</v>
      </c>
      <c r="C198" t="s">
        <v>1707</v>
      </c>
      <c r="D198" t="s">
        <v>179</v>
      </c>
    </row>
    <row r="199" spans="2:4" x14ac:dyDescent="0.25">
      <c r="B199" t="s">
        <v>2024</v>
      </c>
      <c r="C199" t="s">
        <v>1725</v>
      </c>
      <c r="D199" t="s">
        <v>179</v>
      </c>
    </row>
    <row r="200" spans="2:4" x14ac:dyDescent="0.25">
      <c r="B200" t="s">
        <v>2025</v>
      </c>
      <c r="C200" t="s">
        <v>1742</v>
      </c>
      <c r="D200" t="s">
        <v>179</v>
      </c>
    </row>
    <row r="201" spans="2:4" x14ac:dyDescent="0.25">
      <c r="B201" t="s">
        <v>2026</v>
      </c>
      <c r="C201" t="s">
        <v>1753</v>
      </c>
      <c r="D201" t="s">
        <v>179</v>
      </c>
    </row>
    <row r="202" spans="2:4" x14ac:dyDescent="0.25">
      <c r="B202" t="s">
        <v>2027</v>
      </c>
      <c r="C202" t="s">
        <v>1764</v>
      </c>
      <c r="D202" t="s">
        <v>179</v>
      </c>
    </row>
    <row r="203" spans="2:4" x14ac:dyDescent="0.25">
      <c r="B203" t="s">
        <v>2028</v>
      </c>
      <c r="C203" t="s">
        <v>1772</v>
      </c>
      <c r="D203" t="s">
        <v>179</v>
      </c>
    </row>
    <row r="204" spans="2:4" x14ac:dyDescent="0.25">
      <c r="B204" t="s">
        <v>2029</v>
      </c>
      <c r="C204" t="s">
        <v>180</v>
      </c>
      <c r="D204" t="s">
        <v>179</v>
      </c>
    </row>
    <row r="205" spans="2:4" x14ac:dyDescent="0.25">
      <c r="B205" t="s">
        <v>2030</v>
      </c>
      <c r="C205" t="s">
        <v>1654</v>
      </c>
      <c r="D205" t="s">
        <v>1610</v>
      </c>
    </row>
    <row r="206" spans="2:4" x14ac:dyDescent="0.25">
      <c r="B206" t="s">
        <v>2031</v>
      </c>
      <c r="C206" t="s">
        <v>1655</v>
      </c>
      <c r="D206" t="s">
        <v>1611</v>
      </c>
    </row>
    <row r="207" spans="2:4" x14ac:dyDescent="0.25">
      <c r="B207" t="s">
        <v>2032</v>
      </c>
      <c r="C207" t="s">
        <v>1656</v>
      </c>
      <c r="D207" t="s">
        <v>1612</v>
      </c>
    </row>
    <row r="208" spans="2:4" x14ac:dyDescent="0.25">
      <c r="B208" t="s">
        <v>2033</v>
      </c>
      <c r="C208" t="s">
        <v>1657</v>
      </c>
      <c r="D208" t="s">
        <v>1613</v>
      </c>
    </row>
    <row r="209" spans="2:4" x14ac:dyDescent="0.25">
      <c r="B209" t="s">
        <v>2034</v>
      </c>
      <c r="C209" t="s">
        <v>1322</v>
      </c>
      <c r="D209" t="s">
        <v>1614</v>
      </c>
    </row>
    <row r="210" spans="2:4" x14ac:dyDescent="0.25">
      <c r="B210" t="s">
        <v>2035</v>
      </c>
      <c r="C210" t="s">
        <v>1681</v>
      </c>
      <c r="D210" t="s">
        <v>1614</v>
      </c>
    </row>
    <row r="211" spans="2:4" x14ac:dyDescent="0.25">
      <c r="B211" t="s">
        <v>2036</v>
      </c>
      <c r="C211" t="s">
        <v>1708</v>
      </c>
      <c r="D211" t="s">
        <v>1614</v>
      </c>
    </row>
    <row r="212" spans="2:4" x14ac:dyDescent="0.25">
      <c r="B212" t="s">
        <v>2037</v>
      </c>
      <c r="C212" t="s">
        <v>1332</v>
      </c>
      <c r="D212" t="s">
        <v>1614</v>
      </c>
    </row>
    <row r="213" spans="2:4" x14ac:dyDescent="0.25">
      <c r="B213" t="s">
        <v>2038</v>
      </c>
      <c r="C213" t="s">
        <v>1658</v>
      </c>
      <c r="D213" t="s">
        <v>174</v>
      </c>
    </row>
    <row r="214" spans="2:4" x14ac:dyDescent="0.25">
      <c r="B214" t="s">
        <v>2039</v>
      </c>
      <c r="C214" t="s">
        <v>175</v>
      </c>
      <c r="D214" t="s">
        <v>174</v>
      </c>
    </row>
    <row r="215" spans="2:4" x14ac:dyDescent="0.25">
      <c r="B215" t="s">
        <v>2040</v>
      </c>
      <c r="C215" t="s">
        <v>1659</v>
      </c>
      <c r="D215" t="s">
        <v>1615</v>
      </c>
    </row>
    <row r="216" spans="2:4" x14ac:dyDescent="0.25">
      <c r="B216" t="s">
        <v>2041</v>
      </c>
      <c r="C216" t="s">
        <v>1660</v>
      </c>
      <c r="D216" t="s">
        <v>1616</v>
      </c>
    </row>
    <row r="217" spans="2:4" x14ac:dyDescent="0.25">
      <c r="B217" t="s">
        <v>2042</v>
      </c>
      <c r="C217" t="s">
        <v>1682</v>
      </c>
      <c r="D217" t="s">
        <v>1616</v>
      </c>
    </row>
    <row r="218" spans="2:4" x14ac:dyDescent="0.25">
      <c r="B218" t="s">
        <v>2043</v>
      </c>
      <c r="C218" t="s">
        <v>1709</v>
      </c>
      <c r="D218" t="s">
        <v>1616</v>
      </c>
    </row>
    <row r="219" spans="2:4" x14ac:dyDescent="0.25">
      <c r="B219" t="s">
        <v>2044</v>
      </c>
      <c r="C219" t="s">
        <v>1726</v>
      </c>
      <c r="D219" t="s">
        <v>1616</v>
      </c>
    </row>
    <row r="220" spans="2:4" x14ac:dyDescent="0.25">
      <c r="B220" t="s">
        <v>2045</v>
      </c>
      <c r="C220" t="s">
        <v>1375</v>
      </c>
      <c r="D220" t="s">
        <v>1616</v>
      </c>
    </row>
    <row r="221" spans="2:4" x14ac:dyDescent="0.25">
      <c r="B221" t="s">
        <v>2046</v>
      </c>
      <c r="C221" t="s">
        <v>1754</v>
      </c>
      <c r="D221" t="s">
        <v>1616</v>
      </c>
    </row>
    <row r="222" spans="2:4" x14ac:dyDescent="0.25">
      <c r="B222" t="s">
        <v>2047</v>
      </c>
      <c r="C222" t="s">
        <v>1765</v>
      </c>
      <c r="D222" t="s">
        <v>1616</v>
      </c>
    </row>
    <row r="223" spans="2:4" x14ac:dyDescent="0.25">
      <c r="B223" t="s">
        <v>2048</v>
      </c>
      <c r="C223" t="s">
        <v>1773</v>
      </c>
      <c r="D223" t="s">
        <v>1616</v>
      </c>
    </row>
    <row r="224" spans="2:4" x14ac:dyDescent="0.25">
      <c r="B224" t="s">
        <v>2049</v>
      </c>
      <c r="C224" t="s">
        <v>1388</v>
      </c>
      <c r="D224" t="s">
        <v>1616</v>
      </c>
    </row>
    <row r="225" spans="2:4" x14ac:dyDescent="0.25">
      <c r="B225" t="s">
        <v>2050</v>
      </c>
      <c r="C225" t="s">
        <v>1780</v>
      </c>
      <c r="D225" t="s">
        <v>1616</v>
      </c>
    </row>
    <row r="226" spans="2:4" x14ac:dyDescent="0.25">
      <c r="B226" t="s">
        <v>2051</v>
      </c>
      <c r="C226" t="s">
        <v>1393</v>
      </c>
      <c r="D226" t="s">
        <v>1616</v>
      </c>
    </row>
    <row r="227" spans="2:4" x14ac:dyDescent="0.25">
      <c r="B227" t="s">
        <v>1396</v>
      </c>
      <c r="C227" t="s">
        <v>1397</v>
      </c>
      <c r="D227" t="s">
        <v>1616</v>
      </c>
    </row>
    <row r="228" spans="2:4" x14ac:dyDescent="0.25">
      <c r="B228" t="s">
        <v>2052</v>
      </c>
      <c r="C228" t="s">
        <v>1661</v>
      </c>
      <c r="D228" t="s">
        <v>1617</v>
      </c>
    </row>
    <row r="229" spans="2:4" x14ac:dyDescent="0.25">
      <c r="B229" t="s">
        <v>2053</v>
      </c>
      <c r="C229" t="s">
        <v>1683</v>
      </c>
      <c r="D229" t="s">
        <v>1617</v>
      </c>
    </row>
    <row r="230" spans="2:4" x14ac:dyDescent="0.25">
      <c r="B230" t="s">
        <v>2054</v>
      </c>
      <c r="C230" t="s">
        <v>1710</v>
      </c>
      <c r="D230" t="s">
        <v>1617</v>
      </c>
    </row>
    <row r="231" spans="2:4" x14ac:dyDescent="0.25">
      <c r="B231" t="s">
        <v>2055</v>
      </c>
      <c r="C231" t="s">
        <v>1417</v>
      </c>
      <c r="D231" t="s">
        <v>1617</v>
      </c>
    </row>
    <row r="232" spans="2:4" x14ac:dyDescent="0.25">
      <c r="B232" t="s">
        <v>2056</v>
      </c>
      <c r="C232" t="s">
        <v>1743</v>
      </c>
      <c r="D232" t="s">
        <v>1617</v>
      </c>
    </row>
    <row r="233" spans="2:4" x14ac:dyDescent="0.25">
      <c r="B233" t="s">
        <v>2057</v>
      </c>
      <c r="C233" t="s">
        <v>1428</v>
      </c>
      <c r="D233" t="s">
        <v>1617</v>
      </c>
    </row>
    <row r="234" spans="2:4" x14ac:dyDescent="0.25">
      <c r="B234" t="s">
        <v>2058</v>
      </c>
      <c r="C234" t="s">
        <v>1431</v>
      </c>
      <c r="D234" t="s">
        <v>1617</v>
      </c>
    </row>
    <row r="235" spans="2:4" x14ac:dyDescent="0.25">
      <c r="B235" t="s">
        <v>2059</v>
      </c>
      <c r="C235" t="s">
        <v>1436</v>
      </c>
      <c r="D235" t="s">
        <v>1618</v>
      </c>
    </row>
    <row r="236" spans="2:4" x14ac:dyDescent="0.25">
      <c r="B236" t="s">
        <v>2060</v>
      </c>
      <c r="C236" t="s">
        <v>1442</v>
      </c>
      <c r="D236" t="s">
        <v>1618</v>
      </c>
    </row>
    <row r="237" spans="2:4" x14ac:dyDescent="0.25">
      <c r="B237" t="s">
        <v>2061</v>
      </c>
      <c r="C237" t="s">
        <v>1444</v>
      </c>
      <c r="D237" t="s">
        <v>1618</v>
      </c>
    </row>
    <row r="238" spans="2:4" x14ac:dyDescent="0.25">
      <c r="B238" t="s">
        <v>2062</v>
      </c>
      <c r="C238" t="s">
        <v>1447</v>
      </c>
      <c r="D238" t="s">
        <v>1618</v>
      </c>
    </row>
    <row r="239" spans="2:4" x14ac:dyDescent="0.25">
      <c r="B239" t="s">
        <v>2063</v>
      </c>
      <c r="C239" t="s">
        <v>1451</v>
      </c>
      <c r="D239" t="s">
        <v>1618</v>
      </c>
    </row>
    <row r="240" spans="2:4" x14ac:dyDescent="0.25">
      <c r="B240" t="s">
        <v>2064</v>
      </c>
      <c r="C240" t="s">
        <v>1458</v>
      </c>
      <c r="D240" t="s">
        <v>1619</v>
      </c>
    </row>
    <row r="241" spans="2:4" x14ac:dyDescent="0.25">
      <c r="B241" t="s">
        <v>2065</v>
      </c>
      <c r="C241" t="s">
        <v>1467</v>
      </c>
      <c r="D241" t="s">
        <v>1619</v>
      </c>
    </row>
    <row r="242" spans="2:4" x14ac:dyDescent="0.25">
      <c r="B242" t="s">
        <v>2066</v>
      </c>
      <c r="C242" t="s">
        <v>1711</v>
      </c>
      <c r="D242" t="s">
        <v>1619</v>
      </c>
    </row>
    <row r="243" spans="2:4" x14ac:dyDescent="0.25">
      <c r="B243" t="s">
        <v>2067</v>
      </c>
      <c r="C243" t="s">
        <v>1727</v>
      </c>
      <c r="D243" t="s">
        <v>1619</v>
      </c>
    </row>
    <row r="244" spans="2:4" x14ac:dyDescent="0.25">
      <c r="B244" t="s">
        <v>2068</v>
      </c>
      <c r="C244" t="s">
        <v>1662</v>
      </c>
      <c r="D244" t="s">
        <v>1620</v>
      </c>
    </row>
    <row r="245" spans="2:4" x14ac:dyDescent="0.25">
      <c r="B245" t="s">
        <v>2069</v>
      </c>
      <c r="C245" t="s">
        <v>1684</v>
      </c>
      <c r="D245" t="s">
        <v>1620</v>
      </c>
    </row>
    <row r="246" spans="2:4" x14ac:dyDescent="0.25">
      <c r="B246" t="s">
        <v>2070</v>
      </c>
      <c r="C246" t="s">
        <v>1489</v>
      </c>
      <c r="D246" t="s">
        <v>1620</v>
      </c>
    </row>
    <row r="247" spans="2:4" x14ac:dyDescent="0.25">
      <c r="B247" t="s">
        <v>2071</v>
      </c>
      <c r="C247" t="s">
        <v>1728</v>
      </c>
      <c r="D247" t="s">
        <v>1620</v>
      </c>
    </row>
    <row r="248" spans="2:4" x14ac:dyDescent="0.25">
      <c r="B248" t="s">
        <v>2072</v>
      </c>
      <c r="C248" t="s">
        <v>1744</v>
      </c>
      <c r="D248" t="s">
        <v>1620</v>
      </c>
    </row>
    <row r="249" spans="2:4" x14ac:dyDescent="0.25">
      <c r="B249" t="s">
        <v>2073</v>
      </c>
      <c r="C249" t="s">
        <v>1501</v>
      </c>
      <c r="D249" t="s">
        <v>1621</v>
      </c>
    </row>
    <row r="250" spans="2:4" x14ac:dyDescent="0.25">
      <c r="B250" t="s">
        <v>2074</v>
      </c>
      <c r="C250" t="s">
        <v>1685</v>
      </c>
      <c r="D250" t="s">
        <v>1621</v>
      </c>
    </row>
    <row r="251" spans="2:4" x14ac:dyDescent="0.25">
      <c r="B251" t="s">
        <v>2075</v>
      </c>
      <c r="C251" t="s">
        <v>250</v>
      </c>
      <c r="D251" t="s">
        <v>1621</v>
      </c>
    </row>
    <row r="252" spans="2:4" x14ac:dyDescent="0.25">
      <c r="B252" t="s">
        <v>2076</v>
      </c>
      <c r="C252" t="s">
        <v>1729</v>
      </c>
      <c r="D252" t="s">
        <v>1621</v>
      </c>
    </row>
    <row r="253" spans="2:4" x14ac:dyDescent="0.25">
      <c r="B253" t="s">
        <v>2077</v>
      </c>
      <c r="C253" t="s">
        <v>265</v>
      </c>
      <c r="D253" t="s">
        <v>1622</v>
      </c>
    </row>
    <row r="254" spans="2:4" x14ac:dyDescent="0.25">
      <c r="B254" t="s">
        <v>2078</v>
      </c>
      <c r="C254" t="s">
        <v>1686</v>
      </c>
      <c r="D254" t="s">
        <v>1622</v>
      </c>
    </row>
    <row r="255" spans="2:4" x14ac:dyDescent="0.25">
      <c r="B255" t="s">
        <v>2079</v>
      </c>
      <c r="C255" t="s">
        <v>1712</v>
      </c>
      <c r="D255" t="s">
        <v>1622</v>
      </c>
    </row>
    <row r="256" spans="2:4" x14ac:dyDescent="0.25">
      <c r="B256" t="s">
        <v>2080</v>
      </c>
      <c r="C256" t="s">
        <v>257</v>
      </c>
      <c r="D256" t="s">
        <v>1623</v>
      </c>
    </row>
    <row r="257" spans="2:4" x14ac:dyDescent="0.25">
      <c r="B257" t="s">
        <v>2081</v>
      </c>
      <c r="C257" t="s">
        <v>1687</v>
      </c>
      <c r="D257" t="s">
        <v>1623</v>
      </c>
    </row>
    <row r="258" spans="2:4" x14ac:dyDescent="0.25">
      <c r="B258" t="s">
        <v>2082</v>
      </c>
      <c r="C258" t="s">
        <v>1543</v>
      </c>
      <c r="D258" t="s">
        <v>1623</v>
      </c>
    </row>
    <row r="259" spans="2:4" x14ac:dyDescent="0.25">
      <c r="B259" t="s">
        <v>2083</v>
      </c>
      <c r="C259" t="s">
        <v>261</v>
      </c>
      <c r="D259" t="s">
        <v>1623</v>
      </c>
    </row>
    <row r="260" spans="2:4" x14ac:dyDescent="0.25">
      <c r="B260" t="s">
        <v>2084</v>
      </c>
      <c r="C260" t="s">
        <v>1745</v>
      </c>
      <c r="D260" t="s">
        <v>1623</v>
      </c>
    </row>
    <row r="261" spans="2:4" x14ac:dyDescent="0.25">
      <c r="B261" t="s">
        <v>2085</v>
      </c>
      <c r="C261" t="s">
        <v>1663</v>
      </c>
      <c r="D261" t="s">
        <v>1624</v>
      </c>
    </row>
    <row r="262" spans="2:4" x14ac:dyDescent="0.25">
      <c r="B262" t="s">
        <v>2086</v>
      </c>
      <c r="C262" t="s">
        <v>1688</v>
      </c>
      <c r="D262" t="s">
        <v>1624</v>
      </c>
    </row>
    <row r="263" spans="2:4" x14ac:dyDescent="0.25">
      <c r="B263" t="s">
        <v>2087</v>
      </c>
      <c r="C263" t="s">
        <v>1561</v>
      </c>
      <c r="D263" t="s">
        <v>1624</v>
      </c>
    </row>
    <row r="264" spans="2:4" x14ac:dyDescent="0.25">
      <c r="B264" t="s">
        <v>2088</v>
      </c>
      <c r="C264" t="s">
        <v>1730</v>
      </c>
      <c r="D264" t="s">
        <v>1624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267f43b-6ba7-462f-b849-49886bee8057">
      <Terms xmlns="http://schemas.microsoft.com/office/infopath/2007/PartnerControls"/>
    </lcf76f155ced4ddcb4097134ff3c332f>
    <TaxCatchAll xmlns="c5dc2954-7cd5-4ccd-90f4-a3c311ff6d0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1EF0C19C0518D418B69AFACB9C9E19E" ma:contentTypeVersion="14" ma:contentTypeDescription="Crée un document." ma:contentTypeScope="" ma:versionID="bccc175afeff39e6c9beab9c77478d9d">
  <xsd:schema xmlns:xsd="http://www.w3.org/2001/XMLSchema" xmlns:xs="http://www.w3.org/2001/XMLSchema" xmlns:p="http://schemas.microsoft.com/office/2006/metadata/properties" xmlns:ns2="d267f43b-6ba7-462f-b849-49886bee8057" xmlns:ns3="c5dc2954-7cd5-4ccd-90f4-a3c311ff6d07" targetNamespace="http://schemas.microsoft.com/office/2006/metadata/properties" ma:root="true" ma:fieldsID="0e961cfbe39aed45f469ea1ef9ee0b0c" ns2:_="" ns3:_="">
    <xsd:import namespace="d267f43b-6ba7-462f-b849-49886bee8057"/>
    <xsd:import namespace="c5dc2954-7cd5-4ccd-90f4-a3c311ff6d0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f43b-6ba7-462f-b849-49886bee80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alises d’images" ma:readOnly="false" ma:fieldId="{5cf76f15-5ced-4ddc-b409-7134ff3c332f}" ma:taxonomyMulti="true" ma:sspId="c13f4f4c-3a66-413b-b78a-02ae8646459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5dc2954-7cd5-4ccd-90f4-a3c311ff6d07"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20" nillable="true" ma:displayName="Taxonomy Catch All Column" ma:hidden="true" ma:list="{ef9af50b-1fd1-406d-9a83-1a32795fa9af}" ma:internalName="TaxCatchAll" ma:showField="CatchAllData" ma:web="c5dc2954-7cd5-4ccd-90f4-a3c311ff6d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B278D5-4C99-4572-8694-6B2A3814C4A1}">
  <ds:schemaRefs>
    <ds:schemaRef ds:uri="http://schemas.microsoft.com/sharepoint/v3/contenttype/forms"/>
  </ds:schemaRefs>
</ds:datastoreItem>
</file>

<file path=customXml/itemProps2.xml><?xml version="1.0" encoding="utf-8"?>
<ds:datastoreItem xmlns:ds="http://schemas.openxmlformats.org/officeDocument/2006/customXml" ds:itemID="{995328FB-BD70-49E5-A8AC-6F8A796E3A4B}">
  <ds:schemaRefs>
    <ds:schemaRef ds:uri="http://schemas.microsoft.com/office/2006/metadata/properties"/>
    <ds:schemaRef ds:uri="http://schemas.microsoft.com/office/infopath/2007/PartnerControls"/>
    <ds:schemaRef ds:uri="d267f43b-6ba7-462f-b849-49886bee8057"/>
    <ds:schemaRef ds:uri="c5dc2954-7cd5-4ccd-90f4-a3c311ff6d07"/>
  </ds:schemaRefs>
</ds:datastoreItem>
</file>

<file path=customXml/itemProps3.xml><?xml version="1.0" encoding="utf-8"?>
<ds:datastoreItem xmlns:ds="http://schemas.openxmlformats.org/officeDocument/2006/customXml" ds:itemID="{02FA7716-0008-4336-8537-EC2ED126F9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f43b-6ba7-462f-b849-49886bee8057"/>
    <ds:schemaRef ds:uri="c5dc2954-7cd5-4ccd-90f4-a3c311ff6d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96</vt:i4>
      </vt:variant>
    </vt:vector>
  </HeadingPairs>
  <TitlesOfParts>
    <vt:vector size="108" baseType="lpstr">
      <vt:lpstr>AIDE</vt:lpstr>
      <vt:lpstr>CAD</vt:lpstr>
      <vt:lpstr>CAC</vt:lpstr>
      <vt:lpstr>PMO</vt:lpstr>
      <vt:lpstr>QAD</vt:lpstr>
      <vt:lpstr>SE</vt:lpstr>
      <vt:lpstr>SI</vt:lpstr>
      <vt:lpstr>FINANCES</vt:lpstr>
      <vt:lpstr>COM</vt:lpstr>
      <vt:lpstr>COMPILATION</vt:lpstr>
      <vt:lpstr>BulletinDu_25-29mai2026</vt:lpstr>
      <vt:lpstr>AWP FY26</vt:lpstr>
      <vt:lpstr>AWP_ACTIVITES</vt:lpstr>
      <vt:lpstr>AWP_CAT_Commandes_et_Approvisionnement</vt:lpstr>
      <vt:lpstr>AWP_CAT_Coordination_et_Gouvernance</vt:lpstr>
      <vt:lpstr>AWP_CAT_Distribution_et_Livraison</vt:lpstr>
      <vt:lpstr>AWP_CAT_Donnees_et_Reporting</vt:lpstr>
      <vt:lpstr>AWP_CAT_Formation_et_Renforcement_de_Capacites</vt:lpstr>
      <vt:lpstr>AWP_CAT_Gestion_de_Projet</vt:lpstr>
      <vt:lpstr>AWP_CAT_Gestion_de_Stocks</vt:lpstr>
      <vt:lpstr>AWP_CAT_Produits_Specifiques</vt:lpstr>
      <vt:lpstr>AWP_CAT_Quantification_et_Prevision</vt:lpstr>
      <vt:lpstr>AWP_CAT_Systemes_d_Information</vt:lpstr>
      <vt:lpstr>AWP_CATEGORIES</vt:lpstr>
      <vt:lpstr>AWP_T_1_1_1</vt:lpstr>
      <vt:lpstr>AWP_T_1_1_10</vt:lpstr>
      <vt:lpstr>AWP_T_1_1_11</vt:lpstr>
      <vt:lpstr>AWP_T_1_1_2</vt:lpstr>
      <vt:lpstr>AWP_T_1_1_3</vt:lpstr>
      <vt:lpstr>AWP_T_1_1_4</vt:lpstr>
      <vt:lpstr>AWP_T_1_1_5</vt:lpstr>
      <vt:lpstr>AWP_T_1_1_6</vt:lpstr>
      <vt:lpstr>AWP_T_1_1_7</vt:lpstr>
      <vt:lpstr>AWP_T_1_1_9</vt:lpstr>
      <vt:lpstr>AWP_T_1_10_1</vt:lpstr>
      <vt:lpstr>AWP_T_1_10_2</vt:lpstr>
      <vt:lpstr>AWP_T_1_10_3</vt:lpstr>
      <vt:lpstr>AWP_T_1_11_1</vt:lpstr>
      <vt:lpstr>AWP_T_1_11_2</vt:lpstr>
      <vt:lpstr>AWP_T_1_11_3</vt:lpstr>
      <vt:lpstr>AWP_T_1_11_4</vt:lpstr>
      <vt:lpstr>AWP_T_1_11_5</vt:lpstr>
      <vt:lpstr>AWP_T_1_11_6</vt:lpstr>
      <vt:lpstr>AWP_T_1_2_1</vt:lpstr>
      <vt:lpstr>AWP_T_1_2_2</vt:lpstr>
      <vt:lpstr>AWP_T_1_2_3</vt:lpstr>
      <vt:lpstr>AWP_T_1_3_1</vt:lpstr>
      <vt:lpstr>AWP_T_1_3_2</vt:lpstr>
      <vt:lpstr>AWP_T_1_4_1</vt:lpstr>
      <vt:lpstr>AWP_T_1_5_1</vt:lpstr>
      <vt:lpstr>AWP_T_1_7_1</vt:lpstr>
      <vt:lpstr>AWP_T_1_7_11</vt:lpstr>
      <vt:lpstr>AWP_T_1_7_12</vt:lpstr>
      <vt:lpstr>AWP_T_1_7_13</vt:lpstr>
      <vt:lpstr>AWP_T_1_7_14</vt:lpstr>
      <vt:lpstr>AWP_T_1_7_2</vt:lpstr>
      <vt:lpstr>AWP_T_1_7_3</vt:lpstr>
      <vt:lpstr>AWP_T_1_7_4</vt:lpstr>
      <vt:lpstr>AWP_T_1_7_5</vt:lpstr>
      <vt:lpstr>AWP_T_1_7_6</vt:lpstr>
      <vt:lpstr>AWP_T_1_7_7</vt:lpstr>
      <vt:lpstr>AWP_T_1_7_8</vt:lpstr>
      <vt:lpstr>AWP_T_1_7_9</vt:lpstr>
      <vt:lpstr>AWP_T_1_8_2</vt:lpstr>
      <vt:lpstr>AWP_T_1_8_3</vt:lpstr>
      <vt:lpstr>AWP_T_1_9_1</vt:lpstr>
      <vt:lpstr>AWP_T_2_1_1</vt:lpstr>
      <vt:lpstr>AWP_T_2_1_2</vt:lpstr>
      <vt:lpstr>AWP_T_2_2_1</vt:lpstr>
      <vt:lpstr>AWP_T_2_2_2</vt:lpstr>
      <vt:lpstr>AWP_T_2_2_3</vt:lpstr>
      <vt:lpstr>AWP_T_2_2_4</vt:lpstr>
      <vt:lpstr>AWP_T_2_2_5</vt:lpstr>
      <vt:lpstr>AWP_T_2_2_6</vt:lpstr>
      <vt:lpstr>AWP_T_2_2_7</vt:lpstr>
      <vt:lpstr>AWP_T_2_6_1</vt:lpstr>
      <vt:lpstr>AWP_T_2_6_2</vt:lpstr>
      <vt:lpstr>AWP_T_2_6_3</vt:lpstr>
      <vt:lpstr>AWP_T_2_6_4</vt:lpstr>
      <vt:lpstr>AWP_T_2_6_5</vt:lpstr>
      <vt:lpstr>AWP_T_2_6_6</vt:lpstr>
      <vt:lpstr>AWP_T_2_6_7</vt:lpstr>
      <vt:lpstr>AWP_T_2_6_8</vt:lpstr>
      <vt:lpstr>AWP_T_2_6_9</vt:lpstr>
      <vt:lpstr>AWP_T_3_1_1</vt:lpstr>
      <vt:lpstr>AWP_T_3_2_1</vt:lpstr>
      <vt:lpstr>AWP_T_3_2_2</vt:lpstr>
      <vt:lpstr>AWP_T_4_1_1</vt:lpstr>
      <vt:lpstr>AWP_T_4_1_2</vt:lpstr>
      <vt:lpstr>AWP_T_4_1_3</vt:lpstr>
      <vt:lpstr>AWP_T_4_2_1</vt:lpstr>
      <vt:lpstr>AWP_T_4_2_2</vt:lpstr>
      <vt:lpstr>AWP_T_4_2_3</vt:lpstr>
      <vt:lpstr>AWP_T_4_2_4</vt:lpstr>
      <vt:lpstr>AWP_T_4_2_5</vt:lpstr>
      <vt:lpstr>AWP_T_4_2_6</vt:lpstr>
      <vt:lpstr>AWP_THEME_MAP</vt:lpstr>
      <vt:lpstr>AWP_THEMES</vt:lpstr>
      <vt:lpstr>'BulletinDu_25-29mai2026'!Zone_d_impression</vt:lpstr>
      <vt:lpstr>CAC!Zone_d_impression</vt:lpstr>
      <vt:lpstr>CAD!Zone_d_impression</vt:lpstr>
      <vt:lpstr>COM!Zone_d_impression</vt:lpstr>
      <vt:lpstr>COMPILATION!Zone_d_impression</vt:lpstr>
      <vt:lpstr>FINANCES!Zone_d_impression</vt:lpstr>
      <vt:lpstr>PMO!Zone_d_impression</vt:lpstr>
      <vt:lpstr>QAD!Zone_d_impression</vt:lpstr>
      <vt:lpstr>SE!Zone_d_impression</vt:lpstr>
      <vt:lpstr>SI!Zone_d_impression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Martial Roger SEKOUA</cp:lastModifiedBy>
  <cp:revision>0</cp:revision>
  <dcterms:created xsi:type="dcterms:W3CDTF">2026-04-12T12:10:12Z</dcterms:created>
  <dcterms:modified xsi:type="dcterms:W3CDTF">2026-06-01T16:24:49Z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0x01010071EF0C19C0518D418B69AFACB9C9E19E</vt:lpwstr>
  </property>
  <property fmtid="{D5CDD505-2E9C-101B-9397-08002B2CF9AE}" pid="3" name="MediaServiceImageTags">
    <vt:lpwstr/>
  </property>
</Properties>
</file>